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stOfCollege" sheetId="1" r:id="rId4"/>
    <sheet state="visible" name="StudentLoanAmortizationSchedule" sheetId="2" r:id="rId5"/>
    <sheet state="visible" name="Income+MonthlyExpenses" sheetId="3" r:id="rId6"/>
    <sheet state="visible" name="Tax Calculator" sheetId="4" r:id="rId7"/>
  </sheets>
  <definedNames/>
  <calcPr/>
</workbook>
</file>

<file path=xl/sharedStrings.xml><?xml version="1.0" encoding="utf-8"?>
<sst xmlns="http://schemas.openxmlformats.org/spreadsheetml/2006/main" count="122" uniqueCount="108">
  <si>
    <t>Value</t>
  </si>
  <si>
    <t>College Name</t>
  </si>
  <si>
    <t>UPenn</t>
  </si>
  <si>
    <t>Year 1</t>
  </si>
  <si>
    <t>Year 2</t>
  </si>
  <si>
    <t>Year 3 (at home)</t>
  </si>
  <si>
    <t>Year 4 (at home)</t>
  </si>
  <si>
    <t>Cost of college</t>
  </si>
  <si>
    <t>Parental Contribution</t>
  </si>
  <si>
    <t>Financial Aid</t>
  </si>
  <si>
    <t>Loan per year</t>
  </si>
  <si>
    <t>Loan Rate</t>
  </si>
  <si>
    <t>Total Loan</t>
  </si>
  <si>
    <t>Highlighted cells require user input to customize</t>
  </si>
  <si>
    <t>Enter Values</t>
  </si>
  <si>
    <t>Loan Summary</t>
  </si>
  <si>
    <t>Internals:</t>
  </si>
  <si>
    <t>This assumes a loan accruing interest during a 4 year period while studying</t>
  </si>
  <si>
    <t>Loan Amount</t>
  </si>
  <si>
    <t>Scheduled Payments</t>
  </si>
  <si>
    <t>value_entered</t>
  </si>
  <si>
    <t>Annual Interest Rate</t>
  </si>
  <si>
    <t>Scheduled Number of Payments</t>
  </si>
  <si>
    <t>header_row</t>
  </si>
  <si>
    <t>Loan Period in Years</t>
  </si>
  <si>
    <t>Actual Number of Payments</t>
  </si>
  <si>
    <t>last_row</t>
  </si>
  <si>
    <t>Number of Payments in Years</t>
  </si>
  <si>
    <t>Total Early Payments</t>
  </si>
  <si>
    <t>Start Date of Loan</t>
  </si>
  <si>
    <t>Total Interest</t>
  </si>
  <si>
    <t>Optional Extra Payments</t>
  </si>
  <si>
    <t>EMI No</t>
  </si>
  <si>
    <t>Payment Date</t>
  </si>
  <si>
    <t>Open Balance</t>
  </si>
  <si>
    <t>Sche. Payments</t>
  </si>
  <si>
    <t>Extra Payments</t>
  </si>
  <si>
    <t>Total Payments</t>
  </si>
  <si>
    <t>Principal</t>
  </si>
  <si>
    <t>Interest</t>
  </si>
  <si>
    <t>Close Balance</t>
  </si>
  <si>
    <t>Tax</t>
  </si>
  <si>
    <t>Rate</t>
  </si>
  <si>
    <t>UPenn Salaries</t>
  </si>
  <si>
    <t>https://www.vpul.upenn.edu/careerservices/files/2017_Senior_Survey_FINAL_PDF.pdf</t>
  </si>
  <si>
    <t>Annual Income</t>
  </si>
  <si>
    <t>PennState</t>
  </si>
  <si>
    <t>https://www.collegesimply.com/colleges/pennsylvania/pennsylvania-state-university-main-campus/salaries/</t>
  </si>
  <si>
    <t>Federal Taxes</t>
  </si>
  <si>
    <t>GeorgiaTech</t>
  </si>
  <si>
    <t>https://www.collegesimply.com/colleges/georgia/georgia-institute-of-technology-main-campus/salaries/</t>
  </si>
  <si>
    <t>State Taxes</t>
  </si>
  <si>
    <t>State Tax Rate</t>
  </si>
  <si>
    <t>Medicare</t>
  </si>
  <si>
    <t>Medicare Rate</t>
  </si>
  <si>
    <t>Social Security</t>
  </si>
  <si>
    <t>Social Security Rate</t>
  </si>
  <si>
    <t>City/County Taxes</t>
  </si>
  <si>
    <t>City Taxes</t>
  </si>
  <si>
    <t>Monthly Leftovers</t>
  </si>
  <si>
    <t>Rent</t>
  </si>
  <si>
    <t>Groceries &amp; Eating Out</t>
  </si>
  <si>
    <t>Utilities (includes phone, internet)</t>
  </si>
  <si>
    <t>Transportation</t>
  </si>
  <si>
    <t>HealthCare</t>
  </si>
  <si>
    <t>Miscellaneous</t>
  </si>
  <si>
    <t>401k Max for 2021</t>
  </si>
  <si>
    <t>CollegeLoan</t>
  </si>
  <si>
    <t>Car Insurance</t>
  </si>
  <si>
    <t>401K Max</t>
  </si>
  <si>
    <t>401K planned</t>
  </si>
  <si>
    <t>401K contribution (Optional)</t>
  </si>
  <si>
    <t>Total Savings Over 10 yrs</t>
  </si>
  <si>
    <t>LEFTOVERS from Leftovers (Savings)</t>
  </si>
  <si>
    <t>Enter Filing Type</t>
  </si>
  <si>
    <t>Single</t>
  </si>
  <si>
    <t>Enter Taxable Income</t>
  </si>
  <si>
    <t>Estimated Federal Tax</t>
  </si>
  <si>
    <t>Marginal Tax Rate</t>
  </si>
  <si>
    <t>Average Tax Rate</t>
  </si>
  <si>
    <t>Schedules - UPDATED FOR 2019-2020 - DONOT CHANGE UNLESS TAX RATES CHANGE</t>
  </si>
  <si>
    <t>Tax Calculations</t>
  </si>
  <si>
    <t xml:space="preserve">% of </t>
  </si>
  <si>
    <t>value of %</t>
  </si>
  <si>
    <t>If taxable income is over—</t>
  </si>
  <si>
    <t>but not over—</t>
  </si>
  <si>
    <t>the tax is:</t>
  </si>
  <si>
    <t xml:space="preserve">Given </t>
  </si>
  <si>
    <t>amt over</t>
  </si>
  <si>
    <t>of amt over</t>
  </si>
  <si>
    <t>Total</t>
  </si>
  <si>
    <t>10% of the amount over $0</t>
  </si>
  <si>
    <t>$970 plus 12% of the amount over $9,700</t>
  </si>
  <si>
    <t>$4,543 plus 22% of the amount over $39,475</t>
  </si>
  <si>
    <t>$14,382 plus 24% of the amount over $84,200</t>
  </si>
  <si>
    <t>$32,748 plus 32% of the amount over $160,725</t>
  </si>
  <si>
    <t>$46,628 plus 35% of the amount over $204,100</t>
  </si>
  <si>
    <t>no limit</t>
  </si>
  <si>
    <t>$153,798 plus 37% of the amount over $510,300</t>
  </si>
  <si>
    <t xml:space="preserve">Married Filing Jointly </t>
  </si>
  <si>
    <t>$1,940 plus 12% of the amount over $19,400</t>
  </si>
  <si>
    <t>$9,086 plus 22% of the amount over $78,950</t>
  </si>
  <si>
    <t>$28,765 plus 24% of the amount over $168,400</t>
  </si>
  <si>
    <t>$65,497 plus 32% of the amount over $321,450</t>
  </si>
  <si>
    <t>$93,257 plus 35% of the amount over $408,200</t>
  </si>
  <si>
    <t>$164,709 plus 37 % of the amount over $612,350</t>
  </si>
  <si>
    <t>Source</t>
  </si>
  <si>
    <t>Current Tax Brackets &amp; Rates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</si>
</sst>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&quot;$&quot;#,##0"/>
    <numFmt numFmtId="165" formatCode="&quot;$&quot;#,##0.00"/>
    <numFmt numFmtId="166" formatCode="&quot;$ &quot;#,##0.00"/>
    <numFmt numFmtId="167" formatCode="#,##0.###############"/>
    <numFmt numFmtId="168" formatCode="d-MMM-yyyy"/>
    <numFmt numFmtId="169" formatCode="&quot;$&quot;#,##0.00000000"/>
    <numFmt numFmtId="170" formatCode="m/d/yyyy h:mm:ss"/>
    <numFmt numFmtId="171" formatCode="&quot;$&quot;#,##0;&quot;$&quot;(#,##0)"/>
    <numFmt numFmtId="172" formatCode="&quot;$&quot;#,##0 ;&quot;$&quot;(#,##0)"/>
    <numFmt numFmtId="173" formatCode="&quot;$&quot;#,##0.00;&quot;$&quot;(#,##0.00)"/>
  </numFmts>
  <fonts count="1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0.0"/>
      <color rgb="FFFFFFFF"/>
      <name val="Arial"/>
      <scheme val="minor"/>
    </font>
    <font/>
    <font>
      <sz val="10.0"/>
      <color rgb="FFFFFFFF"/>
      <name val="Arial"/>
      <scheme val="minor"/>
    </font>
    <font>
      <color theme="1"/>
      <name val="Arial"/>
    </font>
    <font>
      <u/>
      <color rgb="FF1155CC"/>
      <name val="Arial"/>
    </font>
    <font>
      <sz val="12.0"/>
      <color theme="1"/>
      <name val="Arial"/>
    </font>
    <font>
      <i/>
      <sz val="12.0"/>
      <color theme="1"/>
      <name val="Arial"/>
    </font>
    <font>
      <i/>
      <u/>
      <sz val="12.0"/>
      <color theme="1"/>
      <name val="Arial"/>
    </font>
    <font>
      <i/>
      <u/>
      <sz val="12.0"/>
      <color theme="1"/>
      <name val="Arial"/>
    </font>
    <font>
      <u/>
      <sz val="12.0"/>
      <color rgb="FF1155CC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6AA84F"/>
        <bgColor rgb="FF6AA84F"/>
      </patternFill>
    </fill>
    <fill>
      <patternFill patternType="solid">
        <fgColor rgb="FFD9D9D9"/>
        <bgColor rgb="FFD9D9D9"/>
      </patternFill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</fills>
  <borders count="12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horizontal="center" readingOrder="0"/>
    </xf>
    <xf borderId="0" fillId="2" fontId="2" numFmtId="0" xfId="0" applyAlignment="1" applyFont="1">
      <alignment readingOrder="0"/>
    </xf>
    <xf borderId="0" fillId="2" fontId="2" numFmtId="164" xfId="0" applyAlignment="1" applyFont="1" applyNumberFormat="1">
      <alignment horizontal="center" readingOrder="0"/>
    </xf>
    <xf borderId="0" fillId="0" fontId="2" numFmtId="164" xfId="0" applyAlignment="1" applyFont="1" applyNumberFormat="1">
      <alignment horizontal="center"/>
    </xf>
    <xf borderId="0" fillId="0" fontId="2" numFmtId="10" xfId="0" applyAlignment="1" applyFont="1" applyNumberFormat="1">
      <alignment horizontal="center" readingOrder="0"/>
    </xf>
    <xf borderId="0" fillId="0" fontId="2" numFmtId="0" xfId="0" applyAlignment="1" applyFont="1">
      <alignment horizontal="center"/>
    </xf>
    <xf borderId="0" fillId="2" fontId="2" numFmtId="0" xfId="0" applyAlignment="1" applyFont="1">
      <alignment readingOrder="0"/>
    </xf>
    <xf borderId="0" fillId="2" fontId="2" numFmtId="0" xfId="0" applyFont="1"/>
    <xf borderId="1" fillId="0" fontId="2" numFmtId="0" xfId="0" applyBorder="1" applyFont="1"/>
    <xf borderId="2" fillId="0" fontId="2" numFmtId="0" xfId="0" applyBorder="1" applyFont="1"/>
    <xf borderId="3" fillId="3" fontId="3" numFmtId="0" xfId="0" applyAlignment="1" applyBorder="1" applyFill="1" applyFont="1">
      <alignment horizontal="center" readingOrder="0" vertical="bottom"/>
    </xf>
    <xf borderId="4" fillId="0" fontId="4" numFmtId="0" xfId="0" applyBorder="1" applyFont="1"/>
    <xf borderId="5" fillId="0" fontId="4" numFmtId="0" xfId="0" applyBorder="1" applyFont="1"/>
    <xf borderId="6" fillId="0" fontId="2" numFmtId="0" xfId="0" applyBorder="1" applyFont="1"/>
    <xf borderId="7" fillId="0" fontId="5" numFmtId="0" xfId="0" applyBorder="1" applyFont="1"/>
    <xf borderId="0" fillId="0" fontId="5" numFmtId="0" xfId="0" applyAlignment="1" applyFont="1">
      <alignment readingOrder="0"/>
    </xf>
    <xf borderId="6" fillId="0" fontId="2" numFmtId="0" xfId="0" applyAlignment="1" applyBorder="1" applyFont="1">
      <alignment readingOrder="0"/>
    </xf>
    <xf borderId="0" fillId="0" fontId="5" numFmtId="0" xfId="0" applyFont="1"/>
    <xf borderId="3" fillId="0" fontId="2" numFmtId="0" xfId="0" applyAlignment="1" applyBorder="1" applyFont="1">
      <alignment readingOrder="0"/>
    </xf>
    <xf borderId="8" fillId="0" fontId="2" numFmtId="165" xfId="0" applyAlignment="1" applyBorder="1" applyFont="1" applyNumberFormat="1">
      <alignment readingOrder="0"/>
    </xf>
    <xf borderId="8" fillId="0" fontId="2" numFmtId="166" xfId="0" applyBorder="1" applyFont="1" applyNumberFormat="1"/>
    <xf borderId="7" fillId="0" fontId="0" numFmtId="0" xfId="0" applyBorder="1" applyFont="1"/>
    <xf borderId="0" fillId="0" fontId="5" numFmtId="167" xfId="0" applyFont="1" applyNumberFormat="1"/>
    <xf borderId="8" fillId="2" fontId="2" numFmtId="10" xfId="0" applyAlignment="1" applyBorder="1" applyFont="1" applyNumberFormat="1">
      <alignment readingOrder="0"/>
    </xf>
    <xf borderId="8" fillId="0" fontId="2" numFmtId="0" xfId="0" applyBorder="1" applyFont="1"/>
    <xf borderId="8" fillId="2" fontId="2" numFmtId="0" xfId="0" applyAlignment="1" applyBorder="1" applyFont="1">
      <alignment readingOrder="0"/>
    </xf>
    <xf borderId="8" fillId="2" fontId="2" numFmtId="0" xfId="0" applyAlignment="1" applyBorder="1" applyFont="1">
      <alignment readingOrder="0"/>
    </xf>
    <xf borderId="8" fillId="0" fontId="2" numFmtId="165" xfId="0" applyBorder="1" applyFont="1" applyNumberFormat="1"/>
    <xf borderId="8" fillId="2" fontId="2" numFmtId="168" xfId="0" applyAlignment="1" applyBorder="1" applyFont="1" applyNumberFormat="1">
      <alignment readingOrder="0"/>
    </xf>
    <xf borderId="0" fillId="0" fontId="5" numFmtId="169" xfId="0" applyAlignment="1" applyFont="1" applyNumberFormat="1">
      <alignment readingOrder="0"/>
    </xf>
    <xf borderId="8" fillId="2" fontId="2" numFmtId="166" xfId="0" applyAlignment="1" applyBorder="1" applyFont="1" applyNumberFormat="1">
      <alignment readingOrder="0"/>
    </xf>
    <xf borderId="3" fillId="0" fontId="2" numFmtId="0" xfId="0" applyBorder="1" applyFont="1"/>
    <xf borderId="7" fillId="0" fontId="2" numFmtId="0" xfId="0" applyBorder="1" applyFont="1"/>
    <xf borderId="9" fillId="0" fontId="2" numFmtId="0" xfId="0" applyBorder="1" applyFont="1"/>
    <xf borderId="0" fillId="3" fontId="3" numFmtId="0" xfId="0" applyAlignment="1" applyFont="1">
      <alignment readingOrder="0"/>
    </xf>
    <xf borderId="0" fillId="0" fontId="2" numFmtId="0" xfId="0" applyFont="1"/>
    <xf borderId="0" fillId="0" fontId="2" numFmtId="168" xfId="0" applyFont="1" applyNumberFormat="1"/>
    <xf borderId="0" fillId="0" fontId="2" numFmtId="166" xfId="0" applyFont="1" applyNumberFormat="1"/>
    <xf borderId="0" fillId="0" fontId="2" numFmtId="10" xfId="0" applyFont="1" applyNumberFormat="1"/>
    <xf borderId="0" fillId="0" fontId="2" numFmtId="170" xfId="0" applyFont="1" applyNumberFormat="1"/>
    <xf borderId="0" fillId="0" fontId="2" numFmtId="166" xfId="0" applyFont="1" applyNumberFormat="1"/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8" fillId="4" fontId="2" numFmtId="0" xfId="0" applyAlignment="1" applyBorder="1" applyFill="1" applyFont="1">
      <alignment horizontal="center" readingOrder="0"/>
    </xf>
    <xf borderId="8" fillId="4" fontId="1" numFmtId="0" xfId="0" applyAlignment="1" applyBorder="1" applyFont="1">
      <alignment horizontal="center" readingOrder="0"/>
    </xf>
    <xf borderId="8" fillId="4" fontId="1" numFmtId="0" xfId="0" applyAlignment="1" applyBorder="1" applyFont="1">
      <alignment horizontal="left" readingOrder="0"/>
    </xf>
    <xf borderId="0" fillId="0" fontId="6" numFmtId="0" xfId="0" applyAlignment="1" applyFont="1">
      <alignment vertical="bottom"/>
    </xf>
    <xf borderId="0" fillId="0" fontId="7" numFmtId="0" xfId="0" applyAlignment="1" applyFont="1">
      <alignment vertical="bottom"/>
    </xf>
    <xf borderId="3" fillId="4" fontId="1" numFmtId="0" xfId="0" applyAlignment="1" applyBorder="1" applyFont="1">
      <alignment horizontal="center" readingOrder="0"/>
    </xf>
    <xf borderId="0" fillId="2" fontId="2" numFmtId="165" xfId="0" applyAlignment="1" applyFont="1" applyNumberFormat="1">
      <alignment horizontal="center" readingOrder="0"/>
    </xf>
    <xf borderId="7" fillId="0" fontId="2" numFmtId="0" xfId="0" applyAlignment="1" applyBorder="1" applyFont="1">
      <alignment horizontal="left"/>
    </xf>
    <xf borderId="6" fillId="0" fontId="2" numFmtId="0" xfId="0" applyAlignment="1" applyBorder="1" applyFont="1">
      <alignment horizontal="center"/>
    </xf>
    <xf borderId="0" fillId="0" fontId="2" numFmtId="165" xfId="0" applyAlignment="1" applyFont="1" applyNumberFormat="1">
      <alignment horizontal="center"/>
    </xf>
    <xf borderId="0" fillId="0" fontId="2" numFmtId="165" xfId="0" applyAlignment="1" applyFont="1" applyNumberFormat="1">
      <alignment horizontal="center"/>
    </xf>
    <xf borderId="7" fillId="0" fontId="2" numFmtId="0" xfId="0" applyAlignment="1" applyBorder="1" applyFont="1">
      <alignment horizontal="left" readingOrder="0"/>
    </xf>
    <xf borderId="6" fillId="2" fontId="2" numFmtId="10" xfId="0" applyAlignment="1" applyBorder="1" applyFont="1" applyNumberFormat="1">
      <alignment horizontal="center" readingOrder="0"/>
    </xf>
    <xf borderId="3" fillId="4" fontId="2" numFmtId="0" xfId="0" applyAlignment="1" applyBorder="1" applyFont="1">
      <alignment horizontal="center" readingOrder="0"/>
    </xf>
    <xf borderId="1" fillId="0" fontId="2" numFmtId="165" xfId="0" applyAlignment="1" applyBorder="1" applyFont="1" applyNumberFormat="1">
      <alignment horizontal="center"/>
    </xf>
    <xf borderId="10" fillId="0" fontId="2" numFmtId="0" xfId="0" applyAlignment="1" applyBorder="1" applyFont="1">
      <alignment horizontal="left"/>
    </xf>
    <xf borderId="11" fillId="0" fontId="2" numFmtId="0" xfId="0" applyAlignment="1" applyBorder="1" applyFont="1">
      <alignment horizontal="center"/>
    </xf>
    <xf borderId="0" fillId="2" fontId="2" numFmtId="164" xfId="0" applyAlignment="1" applyFont="1" applyNumberFormat="1">
      <alignment horizontal="left" readingOrder="0"/>
    </xf>
    <xf borderId="0" fillId="0" fontId="2" numFmtId="164" xfId="0" applyAlignment="1" applyFont="1" applyNumberFormat="1">
      <alignment horizontal="left"/>
    </xf>
    <xf borderId="0" fillId="0" fontId="2" numFmtId="165" xfId="0" applyAlignment="1" applyFont="1" applyNumberFormat="1">
      <alignment readingOrder="0"/>
    </xf>
    <xf borderId="0" fillId="0" fontId="2" numFmtId="164" xfId="0" applyAlignment="1" applyFont="1" applyNumberFormat="1">
      <alignment horizontal="left" readingOrder="0"/>
    </xf>
    <xf borderId="0" fillId="2" fontId="2" numFmtId="165" xfId="0" applyAlignment="1" applyFont="1" applyNumberFormat="1">
      <alignment readingOrder="0"/>
    </xf>
    <xf borderId="0" fillId="0" fontId="1" numFmtId="164" xfId="0" applyAlignment="1" applyFont="1" applyNumberFormat="1">
      <alignment horizontal="center"/>
    </xf>
    <xf borderId="0" fillId="2" fontId="2" numFmtId="0" xfId="0" applyAlignment="1" applyFont="1">
      <alignment horizontal="left"/>
    </xf>
    <xf borderId="0" fillId="0" fontId="8" numFmtId="0" xfId="0" applyAlignment="1" applyFont="1">
      <alignment readingOrder="0" shrinkToFit="0" vertical="bottom" wrapText="0"/>
    </xf>
    <xf borderId="0" fillId="0" fontId="8" numFmtId="0" xfId="0" applyAlignment="1" applyFont="1">
      <alignment horizontal="right" readingOrder="0" shrinkToFit="0" vertical="bottom" wrapText="0"/>
    </xf>
    <xf borderId="0" fillId="0" fontId="8" numFmtId="0" xfId="0" applyAlignment="1" applyFont="1">
      <alignment shrinkToFit="0" vertical="bottom" wrapText="0"/>
    </xf>
    <xf borderId="0" fillId="0" fontId="8" numFmtId="171" xfId="0" applyAlignment="1" applyFont="1" applyNumberFormat="1">
      <alignment readingOrder="0" shrinkToFit="0" vertical="bottom" wrapText="0"/>
    </xf>
    <xf borderId="0" fillId="0" fontId="8" numFmtId="165" xfId="0" applyAlignment="1" applyFont="1" applyNumberFormat="1">
      <alignment shrinkToFit="0" vertical="bottom" wrapText="0"/>
    </xf>
    <xf borderId="0" fillId="0" fontId="8" numFmtId="10" xfId="0" applyAlignment="1" applyFont="1" applyNumberFormat="1">
      <alignment shrinkToFit="0" vertical="bottom" wrapText="0"/>
    </xf>
    <xf borderId="0" fillId="5" fontId="8" numFmtId="0" xfId="0" applyAlignment="1" applyFill="1" applyFont="1">
      <alignment readingOrder="0" shrinkToFit="0" vertical="bottom" wrapText="0"/>
    </xf>
    <xf borderId="0" fillId="5" fontId="8" numFmtId="0" xfId="0" applyAlignment="1" applyFont="1">
      <alignment shrinkToFit="0" vertical="bottom" wrapText="0"/>
    </xf>
    <xf borderId="0" fillId="5" fontId="8" numFmtId="0" xfId="0" applyAlignment="1" applyFont="1">
      <alignment readingOrder="0" shrinkToFit="0" vertical="bottom" wrapText="0"/>
    </xf>
    <xf borderId="0" fillId="5" fontId="9" numFmtId="0" xfId="0" applyAlignment="1" applyFont="1">
      <alignment horizontal="right" readingOrder="0" shrinkToFit="0" vertical="bottom" wrapText="0"/>
    </xf>
    <xf borderId="0" fillId="5" fontId="10" numFmtId="0" xfId="0" applyAlignment="1" applyFont="1">
      <alignment readingOrder="0" shrinkToFit="0" vertical="bottom" wrapText="0"/>
    </xf>
    <xf borderId="0" fillId="5" fontId="9" numFmtId="0" xfId="0" applyAlignment="1" applyFont="1">
      <alignment shrinkToFit="0" vertical="bottom" wrapText="0"/>
    </xf>
    <xf borderId="0" fillId="5" fontId="11" numFmtId="0" xfId="0" applyAlignment="1" applyFont="1">
      <alignment horizontal="right" readingOrder="0" shrinkToFit="0" vertical="bottom" wrapText="0"/>
    </xf>
    <xf borderId="0" fillId="5" fontId="8" numFmtId="172" xfId="0" applyAlignment="1" applyFont="1" applyNumberFormat="1">
      <alignment readingOrder="0" shrinkToFit="0" vertical="bottom" wrapText="0"/>
    </xf>
    <xf borderId="0" fillId="5" fontId="8" numFmtId="171" xfId="0" applyAlignment="1" applyFont="1" applyNumberFormat="1">
      <alignment readingOrder="0" shrinkToFit="0" vertical="bottom" wrapText="0"/>
    </xf>
    <xf borderId="0" fillId="5" fontId="8" numFmtId="173" xfId="0" applyAlignment="1" applyFont="1" applyNumberFormat="1">
      <alignment readingOrder="0" shrinkToFit="0" vertical="bottom" wrapText="0"/>
    </xf>
    <xf borderId="0" fillId="5" fontId="8" numFmtId="9" xfId="0" applyAlignment="1" applyFont="1" applyNumberFormat="1">
      <alignment readingOrder="0" shrinkToFit="0" vertical="bottom" wrapText="0"/>
    </xf>
    <xf borderId="0" fillId="5" fontId="8" numFmtId="173" xfId="0" applyAlignment="1" applyFont="1" applyNumberFormat="1">
      <alignment shrinkToFit="0" vertical="bottom" wrapText="0"/>
    </xf>
    <xf borderId="0" fillId="5" fontId="8" numFmtId="165" xfId="0" applyAlignment="1" applyFont="1" applyNumberFormat="1">
      <alignment horizontal="right" readingOrder="0" shrinkToFit="0" vertical="bottom" wrapText="0"/>
    </xf>
    <xf borderId="0" fillId="5" fontId="8" numFmtId="165" xfId="0" applyAlignment="1" applyFont="1" applyNumberFormat="1">
      <alignment readingOrder="0" shrinkToFit="0" vertical="bottom" wrapText="0"/>
    </xf>
    <xf borderId="0" fillId="5" fontId="8" numFmtId="9" xfId="0" applyAlignment="1" applyFont="1" applyNumberFormat="1">
      <alignment readingOrder="0" shrinkToFit="0" vertical="bottom" wrapText="0"/>
    </xf>
    <xf borderId="0" fillId="5" fontId="8" numFmtId="0" xfId="0" applyAlignment="1" applyFont="1">
      <alignment horizontal="right" readingOrder="0" shrinkToFit="0" vertical="bottom" wrapText="0"/>
    </xf>
    <xf borderId="0" fillId="5" fontId="8" numFmtId="9" xfId="0" applyAlignment="1" applyFont="1" applyNumberFormat="1">
      <alignment shrinkToFit="0" vertical="bottom" wrapText="0"/>
    </xf>
    <xf borderId="0" fillId="6" fontId="8" numFmtId="172" xfId="0" applyAlignment="1" applyFill="1" applyFont="1" applyNumberFormat="1">
      <alignment readingOrder="0" shrinkToFit="0" vertical="bottom" wrapText="0"/>
    </xf>
    <xf borderId="0" fillId="6" fontId="12" numFmtId="0" xfId="0" applyAlignment="1" applyFon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vpul.upenn.edu/careerservices/files/2017_Senior_Survey_FINAL_PDF.pdf" TargetMode="External"/><Relationship Id="rId2" Type="http://schemas.openxmlformats.org/officeDocument/2006/relationships/hyperlink" Target="https://www.collegesimply.com/colleges/pennsylvania/pennsylvania-state-university-main-campus/salaries/" TargetMode="External"/><Relationship Id="rId3" Type="http://schemas.openxmlformats.org/officeDocument/2006/relationships/hyperlink" Target="https://www.collegesimply.com/colleges/georgia/georgia-institute-of-technology-main-campus/salaries/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turbotax.intuit.com/tax-tips/irs-tax-return/current-federal-tax-rate-schedules/L7Bjs1EAD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16.75"/>
    <col customWidth="1" min="7" max="8" width="13.38"/>
  </cols>
  <sheetData>
    <row r="1">
      <c r="B1" s="1" t="s">
        <v>0</v>
      </c>
    </row>
    <row r="2">
      <c r="A2" s="2" t="s">
        <v>1</v>
      </c>
      <c r="B2" s="3" t="s">
        <v>2</v>
      </c>
      <c r="D2" s="4" t="s">
        <v>3</v>
      </c>
      <c r="E2" s="4" t="s">
        <v>4</v>
      </c>
      <c r="F2" s="4" t="s">
        <v>5</v>
      </c>
      <c r="G2" s="4" t="s">
        <v>6</v>
      </c>
    </row>
    <row r="3">
      <c r="A3" s="2" t="s">
        <v>7</v>
      </c>
      <c r="B3" s="5">
        <f>AVERAGE(D3:G3)</f>
        <v>75942</v>
      </c>
      <c r="D3" s="6">
        <v>83298.0</v>
      </c>
      <c r="E3" s="6">
        <v>83298.0</v>
      </c>
      <c r="F3" s="6">
        <v>68586.0</v>
      </c>
      <c r="G3" s="6">
        <v>68586.0</v>
      </c>
    </row>
    <row r="4">
      <c r="A4" s="2" t="s">
        <v>8</v>
      </c>
      <c r="B4" s="7">
        <v>40000.0</v>
      </c>
    </row>
    <row r="5">
      <c r="A5" s="2" t="s">
        <v>9</v>
      </c>
      <c r="B5" s="7">
        <v>0.0</v>
      </c>
    </row>
    <row r="6">
      <c r="A6" s="2" t="s">
        <v>10</v>
      </c>
      <c r="B6" s="8">
        <f>B3-B4</f>
        <v>35942</v>
      </c>
    </row>
    <row r="7">
      <c r="A7" s="2" t="s">
        <v>11</v>
      </c>
      <c r="B7" s="9">
        <f>StudentLoanAmortizationSchedule!D4</f>
        <v>0.045</v>
      </c>
    </row>
    <row r="8">
      <c r="A8" s="2" t="s">
        <v>12</v>
      </c>
      <c r="B8" s="8">
        <f>B6*((1 + B7/12)^12+(1 + B7/12)^24+(1 + B7/12)^36+(1 + B7/12)^48 )</f>
        <v>161055.8199</v>
      </c>
    </row>
    <row r="9">
      <c r="B9" s="10"/>
    </row>
    <row r="10">
      <c r="A10" s="11" t="s">
        <v>13</v>
      </c>
      <c r="B10" s="12"/>
    </row>
    <row r="11">
      <c r="B11" s="10"/>
    </row>
    <row r="12">
      <c r="B12" s="10"/>
    </row>
    <row r="13">
      <c r="B13" s="10"/>
    </row>
    <row r="14">
      <c r="B14" s="10"/>
    </row>
    <row r="15">
      <c r="B15" s="10"/>
    </row>
    <row r="16">
      <c r="B16" s="10"/>
    </row>
    <row r="17">
      <c r="B17" s="10"/>
    </row>
    <row r="18">
      <c r="B18" s="10"/>
    </row>
    <row r="19">
      <c r="B19" s="10"/>
    </row>
    <row r="20">
      <c r="B20" s="10"/>
    </row>
    <row r="21">
      <c r="B21" s="10"/>
    </row>
    <row r="22">
      <c r="B22" s="10"/>
    </row>
    <row r="23">
      <c r="B23" s="10"/>
    </row>
    <row r="24">
      <c r="B24" s="10"/>
    </row>
    <row r="25">
      <c r="B25" s="10"/>
    </row>
    <row r="26">
      <c r="B26" s="10"/>
    </row>
    <row r="27">
      <c r="B27" s="10"/>
    </row>
    <row r="28">
      <c r="B28" s="10"/>
    </row>
    <row r="29">
      <c r="B29" s="10"/>
    </row>
    <row r="30">
      <c r="B30" s="10"/>
    </row>
    <row r="31">
      <c r="B31" s="10"/>
    </row>
    <row r="32">
      <c r="B32" s="10"/>
    </row>
    <row r="33">
      <c r="B33" s="10"/>
    </row>
    <row r="34">
      <c r="B34" s="10"/>
    </row>
    <row r="35">
      <c r="B35" s="10"/>
    </row>
    <row r="36">
      <c r="B36" s="10"/>
    </row>
    <row r="37">
      <c r="B37" s="10"/>
    </row>
    <row r="38">
      <c r="B38" s="10"/>
    </row>
    <row r="39">
      <c r="B39" s="10"/>
    </row>
    <row r="40">
      <c r="B40" s="10"/>
    </row>
    <row r="41">
      <c r="B41" s="10"/>
    </row>
    <row r="42">
      <c r="B42" s="10"/>
    </row>
    <row r="43">
      <c r="B43" s="10"/>
    </row>
    <row r="44">
      <c r="B44" s="10"/>
    </row>
    <row r="45">
      <c r="B45" s="10"/>
    </row>
    <row r="46">
      <c r="B46" s="10"/>
    </row>
    <row r="47">
      <c r="B47" s="10"/>
    </row>
    <row r="48">
      <c r="B48" s="10"/>
    </row>
    <row r="49">
      <c r="B49" s="10"/>
    </row>
    <row r="50">
      <c r="B50" s="10"/>
    </row>
    <row r="51">
      <c r="B51" s="10"/>
    </row>
    <row r="52">
      <c r="B52" s="10"/>
    </row>
    <row r="53">
      <c r="B53" s="10"/>
    </row>
    <row r="54">
      <c r="B54" s="10"/>
    </row>
    <row r="55">
      <c r="B55" s="10"/>
    </row>
    <row r="56">
      <c r="B56" s="10"/>
    </row>
    <row r="57">
      <c r="B57" s="10"/>
    </row>
    <row r="58">
      <c r="B58" s="10"/>
    </row>
    <row r="59">
      <c r="B59" s="10"/>
    </row>
    <row r="60">
      <c r="B60" s="10"/>
    </row>
    <row r="61">
      <c r="B61" s="10"/>
    </row>
    <row r="62">
      <c r="B62" s="10"/>
    </row>
    <row r="63">
      <c r="B63" s="10"/>
    </row>
    <row r="64">
      <c r="B64" s="10"/>
    </row>
    <row r="65">
      <c r="B65" s="10"/>
    </row>
    <row r="66">
      <c r="B66" s="10"/>
    </row>
    <row r="67">
      <c r="B67" s="10"/>
    </row>
    <row r="68">
      <c r="B68" s="10"/>
    </row>
    <row r="69">
      <c r="B69" s="10"/>
    </row>
    <row r="70">
      <c r="B70" s="10"/>
    </row>
    <row r="71">
      <c r="B71" s="10"/>
    </row>
    <row r="72">
      <c r="B72" s="10"/>
    </row>
    <row r="73">
      <c r="B73" s="10"/>
    </row>
    <row r="74">
      <c r="B74" s="10"/>
    </row>
    <row r="75">
      <c r="B75" s="10"/>
    </row>
    <row r="76">
      <c r="B76" s="10"/>
    </row>
    <row r="77">
      <c r="B77" s="10"/>
    </row>
    <row r="78">
      <c r="B78" s="10"/>
    </row>
    <row r="79">
      <c r="B79" s="10"/>
    </row>
    <row r="80">
      <c r="B80" s="10"/>
    </row>
    <row r="81">
      <c r="B81" s="10"/>
    </row>
    <row r="82">
      <c r="B82" s="10"/>
    </row>
    <row r="83">
      <c r="B83" s="10"/>
    </row>
    <row r="84">
      <c r="B84" s="10"/>
    </row>
    <row r="85">
      <c r="B85" s="10"/>
    </row>
    <row r="86">
      <c r="B86" s="10"/>
    </row>
    <row r="87">
      <c r="B87" s="10"/>
    </row>
    <row r="88">
      <c r="B88" s="10"/>
    </row>
    <row r="89">
      <c r="B89" s="10"/>
    </row>
    <row r="90">
      <c r="B90" s="10"/>
    </row>
    <row r="91">
      <c r="B91" s="10"/>
    </row>
    <row r="92">
      <c r="B92" s="10"/>
    </row>
    <row r="93">
      <c r="B93" s="10"/>
    </row>
    <row r="94">
      <c r="B94" s="10"/>
    </row>
    <row r="95">
      <c r="B95" s="10"/>
    </row>
    <row r="96">
      <c r="B96" s="10"/>
    </row>
    <row r="97">
      <c r="B97" s="10"/>
    </row>
    <row r="98">
      <c r="B98" s="10"/>
    </row>
    <row r="99">
      <c r="B99" s="10"/>
    </row>
    <row r="100">
      <c r="B100" s="10"/>
    </row>
    <row r="101">
      <c r="B101" s="10"/>
    </row>
    <row r="102">
      <c r="B102" s="10"/>
    </row>
    <row r="103">
      <c r="B103" s="10"/>
    </row>
    <row r="104">
      <c r="B104" s="10"/>
    </row>
    <row r="105">
      <c r="B105" s="10"/>
    </row>
    <row r="106">
      <c r="B106" s="10"/>
    </row>
    <row r="107">
      <c r="B107" s="10"/>
    </row>
    <row r="108">
      <c r="B108" s="10"/>
    </row>
    <row r="109">
      <c r="B109" s="10"/>
    </row>
    <row r="110">
      <c r="B110" s="10"/>
    </row>
    <row r="111">
      <c r="B111" s="10"/>
    </row>
    <row r="112">
      <c r="B112" s="10"/>
    </row>
    <row r="113">
      <c r="B113" s="10"/>
    </row>
    <row r="114">
      <c r="B114" s="10"/>
    </row>
    <row r="115">
      <c r="B115" s="10"/>
    </row>
    <row r="116">
      <c r="B116" s="10"/>
    </row>
    <row r="117">
      <c r="B117" s="10"/>
    </row>
    <row r="118">
      <c r="B118" s="10"/>
    </row>
    <row r="119">
      <c r="B119" s="10"/>
    </row>
    <row r="120">
      <c r="B120" s="10"/>
    </row>
    <row r="121">
      <c r="B121" s="10"/>
    </row>
    <row r="122">
      <c r="B122" s="10"/>
    </row>
    <row r="123">
      <c r="B123" s="10"/>
    </row>
    <row r="124">
      <c r="B124" s="10"/>
    </row>
    <row r="125">
      <c r="B125" s="10"/>
    </row>
    <row r="126">
      <c r="B126" s="10"/>
    </row>
    <row r="127">
      <c r="B127" s="10"/>
    </row>
    <row r="128">
      <c r="B128" s="10"/>
    </row>
    <row r="129">
      <c r="B129" s="10"/>
    </row>
    <row r="130">
      <c r="B130" s="10"/>
    </row>
    <row r="131">
      <c r="B131" s="10"/>
    </row>
    <row r="132">
      <c r="B132" s="10"/>
    </row>
    <row r="133">
      <c r="B133" s="10"/>
    </row>
    <row r="134">
      <c r="B134" s="10"/>
    </row>
    <row r="135">
      <c r="B135" s="10"/>
    </row>
    <row r="136">
      <c r="B136" s="10"/>
    </row>
    <row r="137">
      <c r="B137" s="10"/>
    </row>
    <row r="138">
      <c r="B138" s="10"/>
    </row>
    <row r="139">
      <c r="B139" s="10"/>
    </row>
    <row r="140">
      <c r="B140" s="10"/>
    </row>
    <row r="141">
      <c r="B141" s="10"/>
    </row>
    <row r="142">
      <c r="B142" s="10"/>
    </row>
    <row r="143">
      <c r="B143" s="10"/>
    </row>
    <row r="144">
      <c r="B144" s="10"/>
    </row>
    <row r="145">
      <c r="B145" s="10"/>
    </row>
    <row r="146">
      <c r="B146" s="10"/>
    </row>
    <row r="147">
      <c r="B147" s="10"/>
    </row>
    <row r="148">
      <c r="B148" s="10"/>
    </row>
    <row r="149">
      <c r="B149" s="10"/>
    </row>
    <row r="150">
      <c r="B150" s="10"/>
    </row>
    <row r="151">
      <c r="B151" s="10"/>
    </row>
    <row r="152">
      <c r="B152" s="10"/>
    </row>
    <row r="153">
      <c r="B153" s="10"/>
    </row>
    <row r="154">
      <c r="B154" s="10"/>
    </row>
    <row r="155">
      <c r="B155" s="10"/>
    </row>
    <row r="156">
      <c r="B156" s="10"/>
    </row>
    <row r="157">
      <c r="B157" s="10"/>
    </row>
    <row r="158">
      <c r="B158" s="10"/>
    </row>
    <row r="159">
      <c r="B159" s="10"/>
    </row>
    <row r="160">
      <c r="B160" s="10"/>
    </row>
    <row r="161">
      <c r="B161" s="10"/>
    </row>
    <row r="162">
      <c r="B162" s="10"/>
    </row>
    <row r="163">
      <c r="B163" s="10"/>
    </row>
    <row r="164">
      <c r="B164" s="10"/>
    </row>
    <row r="165">
      <c r="B165" s="10"/>
    </row>
    <row r="166">
      <c r="B166" s="10"/>
    </row>
    <row r="167">
      <c r="B167" s="10"/>
    </row>
    <row r="168">
      <c r="B168" s="10"/>
    </row>
    <row r="169">
      <c r="B169" s="10"/>
    </row>
    <row r="170">
      <c r="B170" s="10"/>
    </row>
    <row r="171">
      <c r="B171" s="10"/>
    </row>
    <row r="172">
      <c r="B172" s="10"/>
    </row>
    <row r="173">
      <c r="B173" s="10"/>
    </row>
    <row r="174">
      <c r="B174" s="10"/>
    </row>
    <row r="175">
      <c r="B175" s="10"/>
    </row>
    <row r="176">
      <c r="B176" s="10"/>
    </row>
    <row r="177">
      <c r="B177" s="10"/>
    </row>
    <row r="178">
      <c r="B178" s="10"/>
    </row>
    <row r="179">
      <c r="B179" s="10"/>
    </row>
    <row r="180">
      <c r="B180" s="10"/>
    </row>
    <row r="181">
      <c r="B181" s="10"/>
    </row>
    <row r="182">
      <c r="B182" s="10"/>
    </row>
    <row r="183">
      <c r="B183" s="10"/>
    </row>
    <row r="184">
      <c r="B184" s="10"/>
    </row>
    <row r="185">
      <c r="B185" s="10"/>
    </row>
    <row r="186">
      <c r="B186" s="10"/>
    </row>
    <row r="187">
      <c r="B187" s="10"/>
    </row>
    <row r="188">
      <c r="B188" s="10"/>
    </row>
    <row r="189">
      <c r="B189" s="10"/>
    </row>
    <row r="190">
      <c r="B190" s="10"/>
    </row>
    <row r="191">
      <c r="B191" s="10"/>
    </row>
    <row r="192">
      <c r="B192" s="10"/>
    </row>
    <row r="193">
      <c r="B193" s="10"/>
    </row>
    <row r="194">
      <c r="B194" s="10"/>
    </row>
    <row r="195">
      <c r="B195" s="10"/>
    </row>
    <row r="196">
      <c r="B196" s="10"/>
    </row>
    <row r="197">
      <c r="B197" s="10"/>
    </row>
    <row r="198">
      <c r="B198" s="10"/>
    </row>
    <row r="199">
      <c r="B199" s="10"/>
    </row>
    <row r="200">
      <c r="B200" s="10"/>
    </row>
    <row r="201">
      <c r="B201" s="10"/>
    </row>
    <row r="202">
      <c r="B202" s="10"/>
    </row>
    <row r="203">
      <c r="B203" s="10"/>
    </row>
    <row r="204">
      <c r="B204" s="10"/>
    </row>
    <row r="205">
      <c r="B205" s="10"/>
    </row>
    <row r="206">
      <c r="B206" s="10"/>
    </row>
    <row r="207">
      <c r="B207" s="10"/>
    </row>
    <row r="208">
      <c r="B208" s="10"/>
    </row>
    <row r="209">
      <c r="B209" s="10"/>
    </row>
    <row r="210">
      <c r="B210" s="10"/>
    </row>
    <row r="211">
      <c r="B211" s="10"/>
    </row>
    <row r="212">
      <c r="B212" s="10"/>
    </row>
    <row r="213">
      <c r="B213" s="10"/>
    </row>
    <row r="214">
      <c r="B214" s="10"/>
    </row>
    <row r="215">
      <c r="B215" s="10"/>
    </row>
    <row r="216">
      <c r="B216" s="10"/>
    </row>
    <row r="217">
      <c r="B217" s="10"/>
    </row>
    <row r="218">
      <c r="B218" s="10"/>
    </row>
    <row r="219">
      <c r="B219" s="10"/>
    </row>
    <row r="220">
      <c r="B220" s="10"/>
    </row>
    <row r="221">
      <c r="B221" s="10"/>
    </row>
    <row r="222">
      <c r="B222" s="10"/>
    </row>
    <row r="223">
      <c r="B223" s="10"/>
    </row>
    <row r="224">
      <c r="B224" s="10"/>
    </row>
    <row r="225">
      <c r="B225" s="10"/>
    </row>
    <row r="226">
      <c r="B226" s="10"/>
    </row>
    <row r="227">
      <c r="B227" s="10"/>
    </row>
    <row r="228">
      <c r="B228" s="10"/>
    </row>
    <row r="229">
      <c r="B229" s="10"/>
    </row>
    <row r="230">
      <c r="B230" s="10"/>
    </row>
    <row r="231">
      <c r="B231" s="10"/>
    </row>
    <row r="232">
      <c r="B232" s="10"/>
    </row>
    <row r="233">
      <c r="B233" s="10"/>
    </row>
    <row r="234">
      <c r="B234" s="10"/>
    </row>
    <row r="235">
      <c r="B235" s="10"/>
    </row>
    <row r="236">
      <c r="B236" s="10"/>
    </row>
    <row r="237">
      <c r="B237" s="10"/>
    </row>
    <row r="238">
      <c r="B238" s="10"/>
    </row>
    <row r="239">
      <c r="B239" s="10"/>
    </row>
    <row r="240">
      <c r="B240" s="10"/>
    </row>
    <row r="241">
      <c r="B241" s="10"/>
    </row>
    <row r="242">
      <c r="B242" s="10"/>
    </row>
    <row r="243">
      <c r="B243" s="10"/>
    </row>
    <row r="244">
      <c r="B244" s="10"/>
    </row>
    <row r="245">
      <c r="B245" s="10"/>
    </row>
    <row r="246">
      <c r="B246" s="10"/>
    </row>
    <row r="247">
      <c r="B247" s="10"/>
    </row>
    <row r="248">
      <c r="B248" s="10"/>
    </row>
    <row r="249">
      <c r="B249" s="10"/>
    </row>
    <row r="250">
      <c r="B250" s="10"/>
    </row>
    <row r="251">
      <c r="B251" s="10"/>
    </row>
    <row r="252">
      <c r="B252" s="10"/>
    </row>
    <row r="253">
      <c r="B253" s="10"/>
    </row>
    <row r="254">
      <c r="B254" s="10"/>
    </row>
    <row r="255">
      <c r="B255" s="10"/>
    </row>
    <row r="256">
      <c r="B256" s="10"/>
    </row>
    <row r="257">
      <c r="B257" s="10"/>
    </row>
    <row r="258">
      <c r="B258" s="10"/>
    </row>
    <row r="259">
      <c r="B259" s="10"/>
    </row>
    <row r="260">
      <c r="B260" s="10"/>
    </row>
    <row r="261">
      <c r="B261" s="10"/>
    </row>
    <row r="262">
      <c r="B262" s="10"/>
    </row>
    <row r="263">
      <c r="B263" s="10"/>
    </row>
    <row r="264">
      <c r="B264" s="10"/>
    </row>
    <row r="265">
      <c r="B265" s="10"/>
    </row>
    <row r="266">
      <c r="B266" s="10"/>
    </row>
    <row r="267">
      <c r="B267" s="10"/>
    </row>
    <row r="268">
      <c r="B268" s="10"/>
    </row>
    <row r="269">
      <c r="B269" s="10"/>
    </row>
    <row r="270">
      <c r="B270" s="10"/>
    </row>
    <row r="271">
      <c r="B271" s="10"/>
    </row>
    <row r="272">
      <c r="B272" s="10"/>
    </row>
    <row r="273">
      <c r="B273" s="10"/>
    </row>
    <row r="274">
      <c r="B274" s="10"/>
    </row>
    <row r="275">
      <c r="B275" s="10"/>
    </row>
    <row r="276">
      <c r="B276" s="10"/>
    </row>
    <row r="277">
      <c r="B277" s="10"/>
    </row>
    <row r="278">
      <c r="B278" s="10"/>
    </row>
    <row r="279">
      <c r="B279" s="10"/>
    </row>
    <row r="280">
      <c r="B280" s="10"/>
    </row>
    <row r="281">
      <c r="B281" s="10"/>
    </row>
    <row r="282">
      <c r="B282" s="10"/>
    </row>
    <row r="283">
      <c r="B283" s="10"/>
    </row>
    <row r="284">
      <c r="B284" s="10"/>
    </row>
    <row r="285">
      <c r="B285" s="10"/>
    </row>
    <row r="286">
      <c r="B286" s="10"/>
    </row>
    <row r="287">
      <c r="B287" s="10"/>
    </row>
    <row r="288">
      <c r="B288" s="10"/>
    </row>
    <row r="289">
      <c r="B289" s="10"/>
    </row>
    <row r="290">
      <c r="B290" s="10"/>
    </row>
    <row r="291">
      <c r="B291" s="10"/>
    </row>
    <row r="292">
      <c r="B292" s="10"/>
    </row>
    <row r="293">
      <c r="B293" s="10"/>
    </row>
    <row r="294">
      <c r="B294" s="10"/>
    </row>
    <row r="295">
      <c r="B295" s="10"/>
    </row>
    <row r="296">
      <c r="B296" s="10"/>
    </row>
    <row r="297">
      <c r="B297" s="10"/>
    </row>
    <row r="298">
      <c r="B298" s="10"/>
    </row>
    <row r="299">
      <c r="B299" s="10"/>
    </row>
    <row r="300">
      <c r="B300" s="10"/>
    </row>
    <row r="301">
      <c r="B301" s="10"/>
    </row>
    <row r="302">
      <c r="B302" s="10"/>
    </row>
    <row r="303">
      <c r="B303" s="10"/>
    </row>
    <row r="304">
      <c r="B304" s="10"/>
    </row>
    <row r="305">
      <c r="B305" s="10"/>
    </row>
    <row r="306">
      <c r="B306" s="10"/>
    </row>
    <row r="307">
      <c r="B307" s="10"/>
    </row>
    <row r="308">
      <c r="B308" s="10"/>
    </row>
    <row r="309">
      <c r="B309" s="10"/>
    </row>
    <row r="310">
      <c r="B310" s="10"/>
    </row>
    <row r="311">
      <c r="B311" s="10"/>
    </row>
    <row r="312">
      <c r="B312" s="10"/>
    </row>
    <row r="313">
      <c r="B313" s="10"/>
    </row>
    <row r="314">
      <c r="B314" s="10"/>
    </row>
    <row r="315">
      <c r="B315" s="10"/>
    </row>
    <row r="316">
      <c r="B316" s="10"/>
    </row>
    <row r="317">
      <c r="B317" s="10"/>
    </row>
    <row r="318">
      <c r="B318" s="10"/>
    </row>
    <row r="319">
      <c r="B319" s="10"/>
    </row>
    <row r="320">
      <c r="B320" s="10"/>
    </row>
    <row r="321">
      <c r="B321" s="10"/>
    </row>
    <row r="322">
      <c r="B322" s="10"/>
    </row>
    <row r="323">
      <c r="B323" s="10"/>
    </row>
    <row r="324">
      <c r="B324" s="10"/>
    </row>
    <row r="325">
      <c r="B325" s="10"/>
    </row>
    <row r="326">
      <c r="B326" s="10"/>
    </row>
    <row r="327">
      <c r="B327" s="10"/>
    </row>
    <row r="328">
      <c r="B328" s="10"/>
    </row>
    <row r="329">
      <c r="B329" s="10"/>
    </row>
    <row r="330">
      <c r="B330" s="10"/>
    </row>
    <row r="331">
      <c r="B331" s="10"/>
    </row>
    <row r="332">
      <c r="B332" s="10"/>
    </row>
    <row r="333">
      <c r="B333" s="10"/>
    </row>
    <row r="334">
      <c r="B334" s="10"/>
    </row>
    <row r="335">
      <c r="B335" s="10"/>
    </row>
    <row r="336">
      <c r="B336" s="10"/>
    </row>
    <row r="337">
      <c r="B337" s="10"/>
    </row>
    <row r="338">
      <c r="B338" s="10"/>
    </row>
    <row r="339">
      <c r="B339" s="10"/>
    </row>
    <row r="340">
      <c r="B340" s="10"/>
    </row>
    <row r="341">
      <c r="B341" s="10"/>
    </row>
    <row r="342">
      <c r="B342" s="10"/>
    </row>
    <row r="343">
      <c r="B343" s="10"/>
    </row>
    <row r="344">
      <c r="B344" s="10"/>
    </row>
    <row r="345">
      <c r="B345" s="10"/>
    </row>
    <row r="346">
      <c r="B346" s="10"/>
    </row>
    <row r="347">
      <c r="B347" s="10"/>
    </row>
    <row r="348">
      <c r="B348" s="10"/>
    </row>
    <row r="349">
      <c r="B349" s="10"/>
    </row>
    <row r="350">
      <c r="B350" s="10"/>
    </row>
    <row r="351">
      <c r="B351" s="10"/>
    </row>
    <row r="352">
      <c r="B352" s="10"/>
    </row>
    <row r="353">
      <c r="B353" s="10"/>
    </row>
    <row r="354">
      <c r="B354" s="10"/>
    </row>
    <row r="355">
      <c r="B355" s="10"/>
    </row>
    <row r="356">
      <c r="B356" s="10"/>
    </row>
    <row r="357">
      <c r="B357" s="10"/>
    </row>
    <row r="358">
      <c r="B358" s="10"/>
    </row>
    <row r="359">
      <c r="B359" s="10"/>
    </row>
    <row r="360">
      <c r="B360" s="10"/>
    </row>
    <row r="361">
      <c r="B361" s="10"/>
    </row>
    <row r="362">
      <c r="B362" s="10"/>
    </row>
    <row r="363">
      <c r="B363" s="10"/>
    </row>
    <row r="364">
      <c r="B364" s="10"/>
    </row>
    <row r="365">
      <c r="B365" s="10"/>
    </row>
    <row r="366">
      <c r="B366" s="10"/>
    </row>
    <row r="367">
      <c r="B367" s="10"/>
    </row>
    <row r="368">
      <c r="B368" s="10"/>
    </row>
    <row r="369">
      <c r="B369" s="10"/>
    </row>
    <row r="370">
      <c r="B370" s="10"/>
    </row>
    <row r="371">
      <c r="B371" s="10"/>
    </row>
    <row r="372">
      <c r="B372" s="10"/>
    </row>
    <row r="373">
      <c r="B373" s="10"/>
    </row>
    <row r="374">
      <c r="B374" s="10"/>
    </row>
    <row r="375">
      <c r="B375" s="10"/>
    </row>
    <row r="376">
      <c r="B376" s="10"/>
    </row>
    <row r="377">
      <c r="B377" s="10"/>
    </row>
    <row r="378">
      <c r="B378" s="10"/>
    </row>
    <row r="379">
      <c r="B379" s="10"/>
    </row>
    <row r="380">
      <c r="B380" s="10"/>
    </row>
    <row r="381">
      <c r="B381" s="10"/>
    </row>
    <row r="382">
      <c r="B382" s="10"/>
    </row>
    <row r="383">
      <c r="B383" s="10"/>
    </row>
    <row r="384">
      <c r="B384" s="10"/>
    </row>
    <row r="385">
      <c r="B385" s="10"/>
    </row>
    <row r="386">
      <c r="B386" s="10"/>
    </row>
    <row r="387">
      <c r="B387" s="10"/>
    </row>
    <row r="388">
      <c r="B388" s="10"/>
    </row>
    <row r="389">
      <c r="B389" s="10"/>
    </row>
    <row r="390">
      <c r="B390" s="10"/>
    </row>
    <row r="391">
      <c r="B391" s="10"/>
    </row>
    <row r="392">
      <c r="B392" s="10"/>
    </row>
    <row r="393">
      <c r="B393" s="10"/>
    </row>
    <row r="394">
      <c r="B394" s="10"/>
    </row>
    <row r="395">
      <c r="B395" s="10"/>
    </row>
    <row r="396">
      <c r="B396" s="10"/>
    </row>
    <row r="397">
      <c r="B397" s="10"/>
    </row>
    <row r="398">
      <c r="B398" s="10"/>
    </row>
    <row r="399">
      <c r="B399" s="10"/>
    </row>
    <row r="400">
      <c r="B400" s="10"/>
    </row>
    <row r="401">
      <c r="B401" s="10"/>
    </row>
    <row r="402">
      <c r="B402" s="10"/>
    </row>
    <row r="403">
      <c r="B403" s="10"/>
    </row>
    <row r="404">
      <c r="B404" s="10"/>
    </row>
    <row r="405">
      <c r="B405" s="10"/>
    </row>
    <row r="406">
      <c r="B406" s="10"/>
    </row>
    <row r="407">
      <c r="B407" s="10"/>
    </row>
    <row r="408">
      <c r="B408" s="10"/>
    </row>
    <row r="409">
      <c r="B409" s="10"/>
    </row>
    <row r="410">
      <c r="B410" s="10"/>
    </row>
    <row r="411">
      <c r="B411" s="10"/>
    </row>
    <row r="412">
      <c r="B412" s="10"/>
    </row>
    <row r="413">
      <c r="B413" s="10"/>
    </row>
    <row r="414">
      <c r="B414" s="10"/>
    </row>
    <row r="415">
      <c r="B415" s="10"/>
    </row>
    <row r="416">
      <c r="B416" s="10"/>
    </row>
    <row r="417">
      <c r="B417" s="10"/>
    </row>
    <row r="418">
      <c r="B418" s="10"/>
    </row>
    <row r="419">
      <c r="B419" s="10"/>
    </row>
    <row r="420">
      <c r="B420" s="10"/>
    </row>
    <row r="421">
      <c r="B421" s="10"/>
    </row>
    <row r="422">
      <c r="B422" s="10"/>
    </row>
    <row r="423">
      <c r="B423" s="10"/>
    </row>
    <row r="424">
      <c r="B424" s="10"/>
    </row>
    <row r="425">
      <c r="B425" s="10"/>
    </row>
    <row r="426">
      <c r="B426" s="10"/>
    </row>
    <row r="427">
      <c r="B427" s="10"/>
    </row>
    <row r="428">
      <c r="B428" s="10"/>
    </row>
    <row r="429">
      <c r="B429" s="10"/>
    </row>
    <row r="430">
      <c r="B430" s="10"/>
    </row>
    <row r="431">
      <c r="B431" s="10"/>
    </row>
    <row r="432">
      <c r="B432" s="10"/>
    </row>
    <row r="433">
      <c r="B433" s="10"/>
    </row>
    <row r="434">
      <c r="B434" s="10"/>
    </row>
    <row r="435">
      <c r="B435" s="10"/>
    </row>
    <row r="436">
      <c r="B436" s="10"/>
    </row>
    <row r="437">
      <c r="B437" s="10"/>
    </row>
    <row r="438">
      <c r="B438" s="10"/>
    </row>
    <row r="439">
      <c r="B439" s="10"/>
    </row>
    <row r="440">
      <c r="B440" s="10"/>
    </row>
    <row r="441">
      <c r="B441" s="10"/>
    </row>
    <row r="442">
      <c r="B442" s="10"/>
    </row>
    <row r="443">
      <c r="B443" s="10"/>
    </row>
    <row r="444">
      <c r="B444" s="10"/>
    </row>
    <row r="445">
      <c r="B445" s="10"/>
    </row>
    <row r="446">
      <c r="B446" s="10"/>
    </row>
    <row r="447">
      <c r="B447" s="10"/>
    </row>
    <row r="448">
      <c r="B448" s="10"/>
    </row>
    <row r="449">
      <c r="B449" s="10"/>
    </row>
    <row r="450">
      <c r="B450" s="10"/>
    </row>
    <row r="451">
      <c r="B451" s="10"/>
    </row>
    <row r="452">
      <c r="B452" s="10"/>
    </row>
    <row r="453">
      <c r="B453" s="10"/>
    </row>
    <row r="454">
      <c r="B454" s="10"/>
    </row>
    <row r="455">
      <c r="B455" s="10"/>
    </row>
    <row r="456">
      <c r="B456" s="10"/>
    </row>
    <row r="457">
      <c r="B457" s="10"/>
    </row>
    <row r="458">
      <c r="B458" s="10"/>
    </row>
    <row r="459">
      <c r="B459" s="10"/>
    </row>
    <row r="460">
      <c r="B460" s="10"/>
    </row>
    <row r="461">
      <c r="B461" s="10"/>
    </row>
    <row r="462">
      <c r="B462" s="10"/>
    </row>
    <row r="463">
      <c r="B463" s="10"/>
    </row>
    <row r="464">
      <c r="B464" s="10"/>
    </row>
    <row r="465">
      <c r="B465" s="10"/>
    </row>
    <row r="466">
      <c r="B466" s="10"/>
    </row>
    <row r="467">
      <c r="B467" s="10"/>
    </row>
    <row r="468">
      <c r="B468" s="10"/>
    </row>
    <row r="469">
      <c r="B469" s="10"/>
    </row>
    <row r="470">
      <c r="B470" s="10"/>
    </row>
    <row r="471">
      <c r="B471" s="10"/>
    </row>
    <row r="472">
      <c r="B472" s="10"/>
    </row>
    <row r="473">
      <c r="B473" s="10"/>
    </row>
    <row r="474">
      <c r="B474" s="10"/>
    </row>
    <row r="475">
      <c r="B475" s="10"/>
    </row>
    <row r="476">
      <c r="B476" s="10"/>
    </row>
    <row r="477">
      <c r="B477" s="10"/>
    </row>
    <row r="478">
      <c r="B478" s="10"/>
    </row>
    <row r="479">
      <c r="B479" s="10"/>
    </row>
    <row r="480">
      <c r="B480" s="10"/>
    </row>
    <row r="481">
      <c r="B481" s="10"/>
    </row>
    <row r="482">
      <c r="B482" s="10"/>
    </row>
    <row r="483">
      <c r="B483" s="10"/>
    </row>
    <row r="484">
      <c r="B484" s="10"/>
    </row>
    <row r="485">
      <c r="B485" s="10"/>
    </row>
    <row r="486">
      <c r="B486" s="10"/>
    </row>
    <row r="487">
      <c r="B487" s="10"/>
    </row>
    <row r="488">
      <c r="B488" s="10"/>
    </row>
    <row r="489">
      <c r="B489" s="10"/>
    </row>
    <row r="490">
      <c r="B490" s="10"/>
    </row>
    <row r="491">
      <c r="B491" s="10"/>
    </row>
    <row r="492">
      <c r="B492" s="10"/>
    </row>
    <row r="493">
      <c r="B493" s="10"/>
    </row>
    <row r="494">
      <c r="B494" s="10"/>
    </row>
    <row r="495">
      <c r="B495" s="10"/>
    </row>
    <row r="496">
      <c r="B496" s="10"/>
    </row>
    <row r="497">
      <c r="B497" s="10"/>
    </row>
    <row r="498">
      <c r="B498" s="10"/>
    </row>
    <row r="499">
      <c r="B499" s="10"/>
    </row>
    <row r="500">
      <c r="B500" s="10"/>
    </row>
    <row r="501">
      <c r="B501" s="10"/>
    </row>
    <row r="502">
      <c r="B502" s="10"/>
    </row>
    <row r="503">
      <c r="B503" s="10"/>
    </row>
    <row r="504">
      <c r="B504" s="10"/>
    </row>
    <row r="505">
      <c r="B505" s="10"/>
    </row>
    <row r="506">
      <c r="B506" s="10"/>
    </row>
    <row r="507">
      <c r="B507" s="10"/>
    </row>
    <row r="508">
      <c r="B508" s="10"/>
    </row>
    <row r="509">
      <c r="B509" s="10"/>
    </row>
    <row r="510">
      <c r="B510" s="10"/>
    </row>
    <row r="511">
      <c r="B511" s="10"/>
    </row>
    <row r="512">
      <c r="B512" s="10"/>
    </row>
    <row r="513">
      <c r="B513" s="10"/>
    </row>
    <row r="514">
      <c r="B514" s="10"/>
    </row>
    <row r="515">
      <c r="B515" s="10"/>
    </row>
    <row r="516">
      <c r="B516" s="10"/>
    </row>
    <row r="517">
      <c r="B517" s="10"/>
    </row>
    <row r="518">
      <c r="B518" s="10"/>
    </row>
    <row r="519">
      <c r="B519" s="10"/>
    </row>
    <row r="520">
      <c r="B520" s="10"/>
    </row>
    <row r="521">
      <c r="B521" s="10"/>
    </row>
    <row r="522">
      <c r="B522" s="10"/>
    </row>
    <row r="523">
      <c r="B523" s="10"/>
    </row>
    <row r="524">
      <c r="B524" s="10"/>
    </row>
    <row r="525">
      <c r="B525" s="10"/>
    </row>
    <row r="526">
      <c r="B526" s="10"/>
    </row>
    <row r="527">
      <c r="B527" s="10"/>
    </row>
    <row r="528">
      <c r="B528" s="10"/>
    </row>
    <row r="529">
      <c r="B529" s="10"/>
    </row>
    <row r="530">
      <c r="B530" s="10"/>
    </row>
    <row r="531">
      <c r="B531" s="10"/>
    </row>
    <row r="532">
      <c r="B532" s="10"/>
    </row>
    <row r="533">
      <c r="B533" s="10"/>
    </row>
    <row r="534">
      <c r="B534" s="10"/>
    </row>
    <row r="535">
      <c r="B535" s="10"/>
    </row>
    <row r="536">
      <c r="B536" s="10"/>
    </row>
    <row r="537">
      <c r="B537" s="10"/>
    </row>
    <row r="538">
      <c r="B538" s="10"/>
    </row>
    <row r="539">
      <c r="B539" s="10"/>
    </row>
    <row r="540">
      <c r="B540" s="10"/>
    </row>
    <row r="541">
      <c r="B541" s="10"/>
    </row>
    <row r="542">
      <c r="B542" s="10"/>
    </row>
    <row r="543">
      <c r="B543" s="10"/>
    </row>
    <row r="544">
      <c r="B544" s="10"/>
    </row>
    <row r="545">
      <c r="B545" s="10"/>
    </row>
    <row r="546">
      <c r="B546" s="10"/>
    </row>
    <row r="547">
      <c r="B547" s="10"/>
    </row>
    <row r="548">
      <c r="B548" s="10"/>
    </row>
    <row r="549">
      <c r="B549" s="10"/>
    </row>
    <row r="550">
      <c r="B550" s="10"/>
    </row>
    <row r="551">
      <c r="B551" s="10"/>
    </row>
    <row r="552">
      <c r="B552" s="10"/>
    </row>
    <row r="553">
      <c r="B553" s="10"/>
    </row>
    <row r="554">
      <c r="B554" s="10"/>
    </row>
    <row r="555">
      <c r="B555" s="10"/>
    </row>
    <row r="556">
      <c r="B556" s="10"/>
    </row>
    <row r="557">
      <c r="B557" s="10"/>
    </row>
    <row r="558">
      <c r="B558" s="10"/>
    </row>
    <row r="559">
      <c r="B559" s="10"/>
    </row>
    <row r="560">
      <c r="B560" s="10"/>
    </row>
    <row r="561">
      <c r="B561" s="10"/>
    </row>
    <row r="562">
      <c r="B562" s="10"/>
    </row>
    <row r="563">
      <c r="B563" s="10"/>
    </row>
    <row r="564">
      <c r="B564" s="10"/>
    </row>
    <row r="565">
      <c r="B565" s="10"/>
    </row>
    <row r="566">
      <c r="B566" s="10"/>
    </row>
    <row r="567">
      <c r="B567" s="10"/>
    </row>
    <row r="568">
      <c r="B568" s="10"/>
    </row>
    <row r="569">
      <c r="B569" s="10"/>
    </row>
    <row r="570">
      <c r="B570" s="10"/>
    </row>
    <row r="571">
      <c r="B571" s="10"/>
    </row>
    <row r="572">
      <c r="B572" s="10"/>
    </row>
    <row r="573">
      <c r="B573" s="10"/>
    </row>
    <row r="574">
      <c r="B574" s="10"/>
    </row>
    <row r="575">
      <c r="B575" s="10"/>
    </row>
    <row r="576">
      <c r="B576" s="10"/>
    </row>
    <row r="577">
      <c r="B577" s="10"/>
    </row>
    <row r="578">
      <c r="B578" s="10"/>
    </row>
    <row r="579">
      <c r="B579" s="10"/>
    </row>
    <row r="580">
      <c r="B580" s="10"/>
    </row>
    <row r="581">
      <c r="B581" s="10"/>
    </row>
    <row r="582">
      <c r="B582" s="10"/>
    </row>
    <row r="583">
      <c r="B583" s="10"/>
    </row>
    <row r="584">
      <c r="B584" s="10"/>
    </row>
    <row r="585">
      <c r="B585" s="10"/>
    </row>
    <row r="586">
      <c r="B586" s="10"/>
    </row>
    <row r="587">
      <c r="B587" s="10"/>
    </row>
    <row r="588">
      <c r="B588" s="10"/>
    </row>
    <row r="589">
      <c r="B589" s="10"/>
    </row>
    <row r="590">
      <c r="B590" s="10"/>
    </row>
    <row r="591">
      <c r="B591" s="10"/>
    </row>
    <row r="592">
      <c r="B592" s="10"/>
    </row>
    <row r="593">
      <c r="B593" s="10"/>
    </row>
    <row r="594">
      <c r="B594" s="10"/>
    </row>
    <row r="595">
      <c r="B595" s="10"/>
    </row>
    <row r="596">
      <c r="B596" s="10"/>
    </row>
    <row r="597">
      <c r="B597" s="10"/>
    </row>
    <row r="598">
      <c r="B598" s="10"/>
    </row>
    <row r="599">
      <c r="B599" s="10"/>
    </row>
    <row r="600">
      <c r="B600" s="10"/>
    </row>
    <row r="601">
      <c r="B601" s="10"/>
    </row>
    <row r="602">
      <c r="B602" s="10"/>
    </row>
    <row r="603">
      <c r="B603" s="10"/>
    </row>
    <row r="604">
      <c r="B604" s="10"/>
    </row>
    <row r="605">
      <c r="B605" s="10"/>
    </row>
    <row r="606">
      <c r="B606" s="10"/>
    </row>
    <row r="607">
      <c r="B607" s="10"/>
    </row>
    <row r="608">
      <c r="B608" s="10"/>
    </row>
    <row r="609">
      <c r="B609" s="10"/>
    </row>
    <row r="610">
      <c r="B610" s="10"/>
    </row>
    <row r="611">
      <c r="B611" s="10"/>
    </row>
    <row r="612">
      <c r="B612" s="10"/>
    </row>
    <row r="613">
      <c r="B613" s="10"/>
    </row>
    <row r="614">
      <c r="B614" s="10"/>
    </row>
    <row r="615">
      <c r="B615" s="10"/>
    </row>
    <row r="616">
      <c r="B616" s="10"/>
    </row>
    <row r="617">
      <c r="B617" s="10"/>
    </row>
    <row r="618">
      <c r="B618" s="10"/>
    </row>
    <row r="619">
      <c r="B619" s="10"/>
    </row>
    <row r="620">
      <c r="B620" s="10"/>
    </row>
    <row r="621">
      <c r="B621" s="10"/>
    </row>
    <row r="622">
      <c r="B622" s="10"/>
    </row>
    <row r="623">
      <c r="B623" s="10"/>
    </row>
    <row r="624">
      <c r="B624" s="10"/>
    </row>
    <row r="625">
      <c r="B625" s="10"/>
    </row>
    <row r="626">
      <c r="B626" s="10"/>
    </row>
    <row r="627">
      <c r="B627" s="10"/>
    </row>
    <row r="628">
      <c r="B628" s="10"/>
    </row>
    <row r="629">
      <c r="B629" s="10"/>
    </row>
    <row r="630">
      <c r="B630" s="10"/>
    </row>
    <row r="631">
      <c r="B631" s="10"/>
    </row>
    <row r="632">
      <c r="B632" s="10"/>
    </row>
    <row r="633">
      <c r="B633" s="10"/>
    </row>
    <row r="634">
      <c r="B634" s="10"/>
    </row>
    <row r="635">
      <c r="B635" s="10"/>
    </row>
    <row r="636">
      <c r="B636" s="10"/>
    </row>
    <row r="637">
      <c r="B637" s="10"/>
    </row>
    <row r="638">
      <c r="B638" s="10"/>
    </row>
    <row r="639">
      <c r="B639" s="10"/>
    </row>
    <row r="640">
      <c r="B640" s="10"/>
    </row>
    <row r="641">
      <c r="B641" s="10"/>
    </row>
    <row r="642">
      <c r="B642" s="10"/>
    </row>
    <row r="643">
      <c r="B643" s="10"/>
    </row>
    <row r="644">
      <c r="B644" s="10"/>
    </row>
    <row r="645">
      <c r="B645" s="10"/>
    </row>
    <row r="646">
      <c r="B646" s="10"/>
    </row>
    <row r="647">
      <c r="B647" s="10"/>
    </row>
    <row r="648">
      <c r="B648" s="10"/>
    </row>
    <row r="649">
      <c r="B649" s="10"/>
    </row>
    <row r="650">
      <c r="B650" s="10"/>
    </row>
    <row r="651">
      <c r="B651" s="10"/>
    </row>
    <row r="652">
      <c r="B652" s="10"/>
    </row>
    <row r="653">
      <c r="B653" s="10"/>
    </row>
    <row r="654">
      <c r="B654" s="10"/>
    </row>
    <row r="655">
      <c r="B655" s="10"/>
    </row>
    <row r="656">
      <c r="B656" s="10"/>
    </row>
    <row r="657">
      <c r="B657" s="10"/>
    </row>
    <row r="658">
      <c r="B658" s="10"/>
    </row>
    <row r="659">
      <c r="B659" s="10"/>
    </row>
    <row r="660">
      <c r="B660" s="10"/>
    </row>
    <row r="661">
      <c r="B661" s="10"/>
    </row>
    <row r="662">
      <c r="B662" s="10"/>
    </row>
    <row r="663">
      <c r="B663" s="10"/>
    </row>
    <row r="664">
      <c r="B664" s="10"/>
    </row>
    <row r="665">
      <c r="B665" s="10"/>
    </row>
    <row r="666">
      <c r="B666" s="10"/>
    </row>
    <row r="667">
      <c r="B667" s="10"/>
    </row>
    <row r="668">
      <c r="B668" s="10"/>
    </row>
    <row r="669">
      <c r="B669" s="10"/>
    </row>
    <row r="670">
      <c r="B670" s="10"/>
    </row>
    <row r="671">
      <c r="B671" s="10"/>
    </row>
    <row r="672">
      <c r="B672" s="10"/>
    </row>
    <row r="673">
      <c r="B673" s="10"/>
    </row>
    <row r="674">
      <c r="B674" s="10"/>
    </row>
    <row r="675">
      <c r="B675" s="10"/>
    </row>
    <row r="676">
      <c r="B676" s="10"/>
    </row>
    <row r="677">
      <c r="B677" s="10"/>
    </row>
    <row r="678">
      <c r="B678" s="10"/>
    </row>
    <row r="679">
      <c r="B679" s="10"/>
    </row>
    <row r="680">
      <c r="B680" s="10"/>
    </row>
    <row r="681">
      <c r="B681" s="10"/>
    </row>
    <row r="682">
      <c r="B682" s="10"/>
    </row>
    <row r="683">
      <c r="B683" s="10"/>
    </row>
    <row r="684">
      <c r="B684" s="10"/>
    </row>
    <row r="685">
      <c r="B685" s="10"/>
    </row>
    <row r="686">
      <c r="B686" s="10"/>
    </row>
    <row r="687">
      <c r="B687" s="10"/>
    </row>
    <row r="688">
      <c r="B688" s="10"/>
    </row>
    <row r="689">
      <c r="B689" s="10"/>
    </row>
    <row r="690">
      <c r="B690" s="10"/>
    </row>
    <row r="691">
      <c r="B691" s="10"/>
    </row>
    <row r="692">
      <c r="B692" s="10"/>
    </row>
    <row r="693">
      <c r="B693" s="10"/>
    </row>
    <row r="694">
      <c r="B694" s="10"/>
    </row>
    <row r="695">
      <c r="B695" s="10"/>
    </row>
    <row r="696">
      <c r="B696" s="10"/>
    </row>
    <row r="697">
      <c r="B697" s="10"/>
    </row>
    <row r="698">
      <c r="B698" s="10"/>
    </row>
    <row r="699">
      <c r="B699" s="10"/>
    </row>
    <row r="700">
      <c r="B700" s="10"/>
    </row>
    <row r="701">
      <c r="B701" s="10"/>
    </row>
    <row r="702">
      <c r="B702" s="10"/>
    </row>
    <row r="703">
      <c r="B703" s="10"/>
    </row>
    <row r="704">
      <c r="B704" s="10"/>
    </row>
    <row r="705">
      <c r="B705" s="10"/>
    </row>
    <row r="706">
      <c r="B706" s="10"/>
    </row>
    <row r="707">
      <c r="B707" s="10"/>
    </row>
    <row r="708">
      <c r="B708" s="10"/>
    </row>
    <row r="709">
      <c r="B709" s="10"/>
    </row>
    <row r="710">
      <c r="B710" s="10"/>
    </row>
    <row r="711">
      <c r="B711" s="10"/>
    </row>
    <row r="712">
      <c r="B712" s="10"/>
    </row>
    <row r="713">
      <c r="B713" s="10"/>
    </row>
    <row r="714">
      <c r="B714" s="10"/>
    </row>
    <row r="715">
      <c r="B715" s="10"/>
    </row>
    <row r="716">
      <c r="B716" s="10"/>
    </row>
    <row r="717">
      <c r="B717" s="10"/>
    </row>
    <row r="718">
      <c r="B718" s="10"/>
    </row>
    <row r="719">
      <c r="B719" s="10"/>
    </row>
    <row r="720">
      <c r="B720" s="10"/>
    </row>
    <row r="721">
      <c r="B721" s="10"/>
    </row>
    <row r="722">
      <c r="B722" s="10"/>
    </row>
    <row r="723">
      <c r="B723" s="10"/>
    </row>
    <row r="724">
      <c r="B724" s="10"/>
    </row>
    <row r="725">
      <c r="B725" s="10"/>
    </row>
    <row r="726">
      <c r="B726" s="10"/>
    </row>
    <row r="727">
      <c r="B727" s="10"/>
    </row>
    <row r="728">
      <c r="B728" s="10"/>
    </row>
    <row r="729">
      <c r="B729" s="10"/>
    </row>
    <row r="730">
      <c r="B730" s="10"/>
    </row>
    <row r="731">
      <c r="B731" s="10"/>
    </row>
    <row r="732">
      <c r="B732" s="10"/>
    </row>
    <row r="733">
      <c r="B733" s="10"/>
    </row>
    <row r="734">
      <c r="B734" s="10"/>
    </row>
    <row r="735">
      <c r="B735" s="10"/>
    </row>
    <row r="736">
      <c r="B736" s="10"/>
    </row>
    <row r="737">
      <c r="B737" s="10"/>
    </row>
    <row r="738">
      <c r="B738" s="10"/>
    </row>
    <row r="739">
      <c r="B739" s="10"/>
    </row>
    <row r="740">
      <c r="B740" s="10"/>
    </row>
    <row r="741">
      <c r="B741" s="10"/>
    </row>
    <row r="742">
      <c r="B742" s="10"/>
    </row>
    <row r="743">
      <c r="B743" s="10"/>
    </row>
    <row r="744">
      <c r="B744" s="10"/>
    </row>
    <row r="745">
      <c r="B745" s="10"/>
    </row>
    <row r="746">
      <c r="B746" s="10"/>
    </row>
    <row r="747">
      <c r="B747" s="10"/>
    </row>
    <row r="748">
      <c r="B748" s="10"/>
    </row>
    <row r="749">
      <c r="B749" s="10"/>
    </row>
    <row r="750">
      <c r="B750" s="10"/>
    </row>
    <row r="751">
      <c r="B751" s="10"/>
    </row>
    <row r="752">
      <c r="B752" s="10"/>
    </row>
    <row r="753">
      <c r="B753" s="10"/>
    </row>
    <row r="754">
      <c r="B754" s="10"/>
    </row>
    <row r="755">
      <c r="B755" s="10"/>
    </row>
    <row r="756">
      <c r="B756" s="10"/>
    </row>
    <row r="757">
      <c r="B757" s="10"/>
    </row>
    <row r="758">
      <c r="B758" s="10"/>
    </row>
    <row r="759">
      <c r="B759" s="10"/>
    </row>
    <row r="760">
      <c r="B760" s="10"/>
    </row>
    <row r="761">
      <c r="B761" s="10"/>
    </row>
    <row r="762">
      <c r="B762" s="10"/>
    </row>
    <row r="763">
      <c r="B763" s="10"/>
    </row>
    <row r="764">
      <c r="B764" s="10"/>
    </row>
    <row r="765">
      <c r="B765" s="10"/>
    </row>
    <row r="766">
      <c r="B766" s="10"/>
    </row>
    <row r="767">
      <c r="B767" s="10"/>
    </row>
    <row r="768">
      <c r="B768" s="10"/>
    </row>
    <row r="769">
      <c r="B769" s="10"/>
    </row>
    <row r="770">
      <c r="B770" s="10"/>
    </row>
    <row r="771">
      <c r="B771" s="10"/>
    </row>
    <row r="772">
      <c r="B772" s="10"/>
    </row>
    <row r="773">
      <c r="B773" s="10"/>
    </row>
    <row r="774">
      <c r="B774" s="10"/>
    </row>
    <row r="775">
      <c r="B775" s="10"/>
    </row>
    <row r="776">
      <c r="B776" s="10"/>
    </row>
    <row r="777">
      <c r="B777" s="10"/>
    </row>
    <row r="778">
      <c r="B778" s="10"/>
    </row>
    <row r="779">
      <c r="B779" s="10"/>
    </row>
    <row r="780">
      <c r="B780" s="10"/>
    </row>
    <row r="781">
      <c r="B781" s="10"/>
    </row>
    <row r="782">
      <c r="B782" s="10"/>
    </row>
    <row r="783">
      <c r="B783" s="10"/>
    </row>
    <row r="784">
      <c r="B784" s="10"/>
    </row>
    <row r="785">
      <c r="B785" s="10"/>
    </row>
    <row r="786">
      <c r="B786" s="10"/>
    </row>
    <row r="787">
      <c r="B787" s="10"/>
    </row>
    <row r="788">
      <c r="B788" s="10"/>
    </row>
    <row r="789">
      <c r="B789" s="10"/>
    </row>
    <row r="790">
      <c r="B790" s="10"/>
    </row>
    <row r="791">
      <c r="B791" s="10"/>
    </row>
    <row r="792">
      <c r="B792" s="10"/>
    </row>
    <row r="793">
      <c r="B793" s="10"/>
    </row>
    <row r="794">
      <c r="B794" s="10"/>
    </row>
    <row r="795">
      <c r="B795" s="10"/>
    </row>
    <row r="796">
      <c r="B796" s="10"/>
    </row>
    <row r="797">
      <c r="B797" s="10"/>
    </row>
    <row r="798">
      <c r="B798" s="10"/>
    </row>
    <row r="799">
      <c r="B799" s="10"/>
    </row>
    <row r="800">
      <c r="B800" s="10"/>
    </row>
    <row r="801">
      <c r="B801" s="10"/>
    </row>
    <row r="802">
      <c r="B802" s="10"/>
    </row>
    <row r="803">
      <c r="B803" s="10"/>
    </row>
    <row r="804">
      <c r="B804" s="10"/>
    </row>
    <row r="805">
      <c r="B805" s="10"/>
    </row>
    <row r="806">
      <c r="B806" s="10"/>
    </row>
    <row r="807">
      <c r="B807" s="10"/>
    </row>
    <row r="808">
      <c r="B808" s="10"/>
    </row>
    <row r="809">
      <c r="B809" s="10"/>
    </row>
    <row r="810">
      <c r="B810" s="10"/>
    </row>
    <row r="811">
      <c r="B811" s="10"/>
    </row>
    <row r="812">
      <c r="B812" s="10"/>
    </row>
    <row r="813">
      <c r="B813" s="10"/>
    </row>
    <row r="814">
      <c r="B814" s="10"/>
    </row>
    <row r="815">
      <c r="B815" s="10"/>
    </row>
    <row r="816">
      <c r="B816" s="10"/>
    </row>
    <row r="817">
      <c r="B817" s="10"/>
    </row>
    <row r="818">
      <c r="B818" s="10"/>
    </row>
    <row r="819">
      <c r="B819" s="10"/>
    </row>
    <row r="820">
      <c r="B820" s="10"/>
    </row>
    <row r="821">
      <c r="B821" s="10"/>
    </row>
    <row r="822">
      <c r="B822" s="10"/>
    </row>
    <row r="823">
      <c r="B823" s="10"/>
    </row>
    <row r="824">
      <c r="B824" s="10"/>
    </row>
    <row r="825">
      <c r="B825" s="10"/>
    </row>
    <row r="826">
      <c r="B826" s="10"/>
    </row>
    <row r="827">
      <c r="B827" s="10"/>
    </row>
    <row r="828">
      <c r="B828" s="10"/>
    </row>
    <row r="829">
      <c r="B829" s="10"/>
    </row>
    <row r="830">
      <c r="B830" s="10"/>
    </row>
    <row r="831">
      <c r="B831" s="10"/>
    </row>
    <row r="832">
      <c r="B832" s="10"/>
    </row>
    <row r="833">
      <c r="B833" s="10"/>
    </row>
    <row r="834">
      <c r="B834" s="10"/>
    </row>
    <row r="835">
      <c r="B835" s="10"/>
    </row>
    <row r="836">
      <c r="B836" s="10"/>
    </row>
    <row r="837">
      <c r="B837" s="10"/>
    </row>
    <row r="838">
      <c r="B838" s="10"/>
    </row>
    <row r="839">
      <c r="B839" s="10"/>
    </row>
    <row r="840">
      <c r="B840" s="10"/>
    </row>
    <row r="841">
      <c r="B841" s="10"/>
    </row>
    <row r="842">
      <c r="B842" s="10"/>
    </row>
    <row r="843">
      <c r="B843" s="10"/>
    </row>
    <row r="844">
      <c r="B844" s="10"/>
    </row>
    <row r="845">
      <c r="B845" s="10"/>
    </row>
    <row r="846">
      <c r="B846" s="10"/>
    </row>
    <row r="847">
      <c r="B847" s="10"/>
    </row>
    <row r="848">
      <c r="B848" s="10"/>
    </row>
    <row r="849">
      <c r="B849" s="10"/>
    </row>
    <row r="850">
      <c r="B850" s="10"/>
    </row>
    <row r="851">
      <c r="B851" s="10"/>
    </row>
    <row r="852">
      <c r="B852" s="10"/>
    </row>
    <row r="853">
      <c r="B853" s="10"/>
    </row>
    <row r="854">
      <c r="B854" s="10"/>
    </row>
    <row r="855">
      <c r="B855" s="10"/>
    </row>
    <row r="856">
      <c r="B856" s="10"/>
    </row>
    <row r="857">
      <c r="B857" s="10"/>
    </row>
    <row r="858">
      <c r="B858" s="10"/>
    </row>
    <row r="859">
      <c r="B859" s="10"/>
    </row>
    <row r="860">
      <c r="B860" s="10"/>
    </row>
    <row r="861">
      <c r="B861" s="10"/>
    </row>
    <row r="862">
      <c r="B862" s="10"/>
    </row>
    <row r="863">
      <c r="B863" s="10"/>
    </row>
    <row r="864">
      <c r="B864" s="10"/>
    </row>
    <row r="865">
      <c r="B865" s="10"/>
    </row>
    <row r="866">
      <c r="B866" s="10"/>
    </row>
    <row r="867">
      <c r="B867" s="10"/>
    </row>
    <row r="868">
      <c r="B868" s="10"/>
    </row>
    <row r="869">
      <c r="B869" s="10"/>
    </row>
    <row r="870">
      <c r="B870" s="10"/>
    </row>
    <row r="871">
      <c r="B871" s="10"/>
    </row>
    <row r="872">
      <c r="B872" s="10"/>
    </row>
    <row r="873">
      <c r="B873" s="10"/>
    </row>
    <row r="874">
      <c r="B874" s="10"/>
    </row>
    <row r="875">
      <c r="B875" s="10"/>
    </row>
    <row r="876">
      <c r="B876" s="10"/>
    </row>
    <row r="877">
      <c r="B877" s="10"/>
    </row>
    <row r="878">
      <c r="B878" s="10"/>
    </row>
    <row r="879">
      <c r="B879" s="10"/>
    </row>
    <row r="880">
      <c r="B880" s="10"/>
    </row>
    <row r="881">
      <c r="B881" s="10"/>
    </row>
    <row r="882">
      <c r="B882" s="10"/>
    </row>
    <row r="883">
      <c r="B883" s="10"/>
    </row>
    <row r="884">
      <c r="B884" s="10"/>
    </row>
    <row r="885">
      <c r="B885" s="10"/>
    </row>
    <row r="886">
      <c r="B886" s="10"/>
    </row>
    <row r="887">
      <c r="B887" s="10"/>
    </row>
    <row r="888">
      <c r="B888" s="10"/>
    </row>
    <row r="889">
      <c r="B889" s="10"/>
    </row>
    <row r="890">
      <c r="B890" s="10"/>
    </row>
    <row r="891">
      <c r="B891" s="10"/>
    </row>
    <row r="892">
      <c r="B892" s="10"/>
    </row>
    <row r="893">
      <c r="B893" s="10"/>
    </row>
    <row r="894">
      <c r="B894" s="10"/>
    </row>
    <row r="895">
      <c r="B895" s="10"/>
    </row>
    <row r="896">
      <c r="B896" s="10"/>
    </row>
    <row r="897">
      <c r="B897" s="10"/>
    </row>
    <row r="898">
      <c r="B898" s="10"/>
    </row>
    <row r="899">
      <c r="B899" s="10"/>
    </row>
    <row r="900">
      <c r="B900" s="10"/>
    </row>
    <row r="901">
      <c r="B901" s="10"/>
    </row>
    <row r="902">
      <c r="B902" s="10"/>
    </row>
    <row r="903">
      <c r="B903" s="10"/>
    </row>
    <row r="904">
      <c r="B904" s="10"/>
    </row>
    <row r="905">
      <c r="B905" s="10"/>
    </row>
    <row r="906">
      <c r="B906" s="10"/>
    </row>
    <row r="907">
      <c r="B907" s="10"/>
    </row>
    <row r="908">
      <c r="B908" s="10"/>
    </row>
    <row r="909">
      <c r="B909" s="10"/>
    </row>
    <row r="910">
      <c r="B910" s="10"/>
    </row>
    <row r="911">
      <c r="B911" s="10"/>
    </row>
    <row r="912">
      <c r="B912" s="10"/>
    </row>
    <row r="913">
      <c r="B913" s="10"/>
    </row>
    <row r="914">
      <c r="B914" s="10"/>
    </row>
    <row r="915">
      <c r="B915" s="10"/>
    </row>
    <row r="916">
      <c r="B916" s="10"/>
    </row>
    <row r="917">
      <c r="B917" s="10"/>
    </row>
    <row r="918">
      <c r="B918" s="10"/>
    </row>
    <row r="919">
      <c r="B919" s="10"/>
    </row>
    <row r="920">
      <c r="B920" s="10"/>
    </row>
    <row r="921">
      <c r="B921" s="10"/>
    </row>
    <row r="922">
      <c r="B922" s="10"/>
    </row>
    <row r="923">
      <c r="B923" s="10"/>
    </row>
    <row r="924">
      <c r="B924" s="10"/>
    </row>
    <row r="925">
      <c r="B925" s="10"/>
    </row>
    <row r="926">
      <c r="B926" s="10"/>
    </row>
    <row r="927">
      <c r="B927" s="10"/>
    </row>
    <row r="928">
      <c r="B928" s="10"/>
    </row>
    <row r="929">
      <c r="B929" s="10"/>
    </row>
    <row r="930">
      <c r="B930" s="10"/>
    </row>
    <row r="931">
      <c r="B931" s="10"/>
    </row>
    <row r="932">
      <c r="B932" s="10"/>
    </row>
    <row r="933">
      <c r="B933" s="10"/>
    </row>
    <row r="934">
      <c r="B934" s="10"/>
    </row>
    <row r="935">
      <c r="B935" s="10"/>
    </row>
    <row r="936">
      <c r="B936" s="10"/>
    </row>
    <row r="937">
      <c r="B937" s="10"/>
    </row>
    <row r="938">
      <c r="B938" s="10"/>
    </row>
    <row r="939">
      <c r="B939" s="10"/>
    </row>
    <row r="940">
      <c r="B940" s="10"/>
    </row>
    <row r="941">
      <c r="B941" s="10"/>
    </row>
    <row r="942">
      <c r="B942" s="10"/>
    </row>
    <row r="943">
      <c r="B943" s="10"/>
    </row>
    <row r="944">
      <c r="B944" s="10"/>
    </row>
    <row r="945">
      <c r="B945" s="10"/>
    </row>
    <row r="946">
      <c r="B946" s="10"/>
    </row>
    <row r="947">
      <c r="B947" s="10"/>
    </row>
    <row r="948">
      <c r="B948" s="10"/>
    </row>
    <row r="949">
      <c r="B949" s="10"/>
    </row>
    <row r="950">
      <c r="B950" s="10"/>
    </row>
    <row r="951">
      <c r="B951" s="10"/>
    </row>
    <row r="952">
      <c r="B952" s="10"/>
    </row>
    <row r="953">
      <c r="B953" s="10"/>
    </row>
    <row r="954">
      <c r="B954" s="10"/>
    </row>
    <row r="955">
      <c r="B955" s="10"/>
    </row>
    <row r="956">
      <c r="B956" s="10"/>
    </row>
    <row r="957">
      <c r="B957" s="10"/>
    </row>
    <row r="958">
      <c r="B958" s="10"/>
    </row>
    <row r="959">
      <c r="B959" s="10"/>
    </row>
    <row r="960">
      <c r="B960" s="10"/>
    </row>
    <row r="961">
      <c r="B961" s="10"/>
    </row>
    <row r="962">
      <c r="B962" s="10"/>
    </row>
    <row r="963">
      <c r="B963" s="10"/>
    </row>
    <row r="964">
      <c r="B964" s="10"/>
    </row>
    <row r="965">
      <c r="B965" s="10"/>
    </row>
    <row r="966">
      <c r="B966" s="10"/>
    </row>
    <row r="967">
      <c r="B967" s="10"/>
    </row>
    <row r="968">
      <c r="B968" s="10"/>
    </row>
    <row r="969">
      <c r="B969" s="10"/>
    </row>
    <row r="970">
      <c r="B970" s="10"/>
    </row>
    <row r="971">
      <c r="B971" s="10"/>
    </row>
    <row r="972">
      <c r="B972" s="10"/>
    </row>
    <row r="973">
      <c r="B973" s="10"/>
    </row>
    <row r="974">
      <c r="B974" s="10"/>
    </row>
    <row r="975">
      <c r="B975" s="10"/>
    </row>
    <row r="976">
      <c r="B976" s="10"/>
    </row>
    <row r="977">
      <c r="B977" s="10"/>
    </row>
    <row r="978">
      <c r="B978" s="10"/>
    </row>
    <row r="979">
      <c r="B979" s="10"/>
    </row>
    <row r="980">
      <c r="B980" s="10"/>
    </row>
    <row r="981">
      <c r="B981" s="10"/>
    </row>
    <row r="982">
      <c r="B982" s="10"/>
    </row>
    <row r="983">
      <c r="B983" s="10"/>
    </row>
    <row r="984">
      <c r="B984" s="10"/>
    </row>
    <row r="985">
      <c r="B985" s="10"/>
    </row>
    <row r="986">
      <c r="B986" s="10"/>
    </row>
    <row r="987">
      <c r="B987" s="10"/>
    </row>
    <row r="988">
      <c r="B988" s="10"/>
    </row>
    <row r="989">
      <c r="B989" s="10"/>
    </row>
    <row r="990">
      <c r="B990" s="10"/>
    </row>
    <row r="991">
      <c r="B991" s="10"/>
    </row>
    <row r="992">
      <c r="B992" s="10"/>
    </row>
    <row r="993">
      <c r="B993" s="10"/>
    </row>
    <row r="994">
      <c r="B994" s="10"/>
    </row>
    <row r="995">
      <c r="B995" s="10"/>
    </row>
    <row r="996">
      <c r="B996" s="10"/>
    </row>
    <row r="997">
      <c r="B997" s="10"/>
    </row>
    <row r="998">
      <c r="B998" s="10"/>
    </row>
    <row r="999">
      <c r="B999" s="10"/>
    </row>
    <row r="1000">
      <c r="B1000" s="10"/>
    </row>
    <row r="1001">
      <c r="B1001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75"/>
  <cols>
    <col customWidth="1" min="1" max="1" width="7.5"/>
    <col customWidth="1" min="2" max="2" width="12.5"/>
    <col customWidth="1" min="11" max="11" width="35.38"/>
  </cols>
  <sheetData>
    <row r="1">
      <c r="B1" s="13"/>
      <c r="C1" s="13"/>
      <c r="D1" s="13"/>
      <c r="F1" s="13"/>
      <c r="G1" s="13"/>
      <c r="H1" s="13"/>
    </row>
    <row r="2">
      <c r="A2" s="14"/>
      <c r="B2" s="15" t="s">
        <v>14</v>
      </c>
      <c r="C2" s="16"/>
      <c r="D2" s="17"/>
      <c r="E2" s="18"/>
      <c r="F2" s="15" t="s">
        <v>15</v>
      </c>
      <c r="G2" s="16"/>
      <c r="H2" s="17"/>
      <c r="I2" s="19"/>
      <c r="J2" s="20" t="s">
        <v>16</v>
      </c>
      <c r="K2" s="21" t="s">
        <v>17</v>
      </c>
      <c r="L2" s="22"/>
    </row>
    <row r="3">
      <c r="A3" s="14"/>
      <c r="B3" s="23" t="s">
        <v>18</v>
      </c>
      <c r="C3" s="17"/>
      <c r="D3" s="24">
        <f>CostOfCollege!B8</f>
        <v>161055.8199</v>
      </c>
      <c r="E3" s="21"/>
      <c r="F3" s="23" t="s">
        <v>19</v>
      </c>
      <c r="G3" s="17"/>
      <c r="H3" s="25">
        <f>IF($K$3,-PMT(D4/D6,D5*D6,D3),"")</f>
        <v>1669.15689</v>
      </c>
      <c r="I3" s="26"/>
      <c r="J3" s="20" t="s">
        <v>20</v>
      </c>
      <c r="K3" s="27">
        <f>if(D3*D4*D5*D6*D7&gt;0,1,0)</f>
        <v>1</v>
      </c>
      <c r="L3" s="22"/>
    </row>
    <row r="4">
      <c r="A4" s="14"/>
      <c r="B4" s="23" t="s">
        <v>21</v>
      </c>
      <c r="C4" s="17"/>
      <c r="D4" s="28">
        <v>0.045</v>
      </c>
      <c r="E4" s="18"/>
      <c r="F4" s="23" t="s">
        <v>22</v>
      </c>
      <c r="G4" s="17"/>
      <c r="H4" s="29">
        <f>IF(K3,D5*D6,"")</f>
        <v>120</v>
      </c>
      <c r="I4" s="19"/>
      <c r="J4" s="20" t="s">
        <v>23</v>
      </c>
      <c r="K4" s="27">
        <f>ROW($10:$10)</f>
        <v>10</v>
      </c>
      <c r="L4" s="22"/>
    </row>
    <row r="5">
      <c r="A5" s="14"/>
      <c r="B5" s="23" t="s">
        <v>24</v>
      </c>
      <c r="C5" s="17"/>
      <c r="D5" s="30">
        <v>10.0</v>
      </c>
      <c r="E5" s="18"/>
      <c r="F5" s="23" t="s">
        <v>25</v>
      </c>
      <c r="G5" s="17"/>
      <c r="H5" s="29">
        <f>IF(K3,MATCH(0, $I$11:$I$370,0),"")</f>
        <v>120</v>
      </c>
      <c r="I5" s="26"/>
      <c r="J5" s="20" t="s">
        <v>26</v>
      </c>
      <c r="K5" s="27">
        <f>if($K$3,K4+H5,K4)</f>
        <v>130</v>
      </c>
      <c r="L5" s="22"/>
    </row>
    <row r="6">
      <c r="A6" s="14"/>
      <c r="B6" s="23" t="s">
        <v>27</v>
      </c>
      <c r="C6" s="17"/>
      <c r="D6" s="31">
        <v>12.0</v>
      </c>
      <c r="E6" s="18"/>
      <c r="F6" s="23" t="s">
        <v>28</v>
      </c>
      <c r="G6" s="17"/>
      <c r="H6" s="32">
        <f>IF(K3,SUMIF($C$11:$C$370,"&gt;0",$E$11:$E$370),"")</f>
        <v>0</v>
      </c>
      <c r="I6" s="19"/>
      <c r="J6" s="22"/>
      <c r="K6" s="22"/>
      <c r="L6" s="22"/>
    </row>
    <row r="7">
      <c r="A7" s="14"/>
      <c r="B7" s="23" t="s">
        <v>29</v>
      </c>
      <c r="C7" s="17"/>
      <c r="D7" s="33">
        <v>45870.0</v>
      </c>
      <c r="E7" s="18"/>
      <c r="F7" s="23" t="s">
        <v>30</v>
      </c>
      <c r="G7" s="17"/>
      <c r="H7" s="25">
        <f>IF(K3,SUMIF($C$11:$C$370,"&gt;0",$H$11:$H$370),"")</f>
        <v>39243.00685</v>
      </c>
      <c r="I7" s="26"/>
      <c r="J7" s="34">
        <v>100596.83788725</v>
      </c>
      <c r="K7" s="22"/>
      <c r="L7" s="22"/>
    </row>
    <row r="8">
      <c r="A8" s="14"/>
      <c r="B8" s="23" t="s">
        <v>31</v>
      </c>
      <c r="C8" s="17"/>
      <c r="D8" s="35">
        <v>0.0</v>
      </c>
      <c r="E8" s="18"/>
      <c r="F8" s="36"/>
      <c r="G8" s="17"/>
      <c r="H8" s="29"/>
      <c r="I8" s="37"/>
    </row>
    <row r="9">
      <c r="B9" s="38"/>
      <c r="C9" s="38"/>
      <c r="D9" s="38"/>
      <c r="F9" s="38"/>
      <c r="G9" s="38"/>
      <c r="H9" s="38"/>
    </row>
    <row r="10">
      <c r="A10" s="39" t="s">
        <v>32</v>
      </c>
      <c r="B10" s="39" t="s">
        <v>33</v>
      </c>
      <c r="C10" s="39" t="s">
        <v>34</v>
      </c>
      <c r="D10" s="39" t="s">
        <v>35</v>
      </c>
      <c r="E10" s="39" t="s">
        <v>36</v>
      </c>
      <c r="F10" s="39" t="s">
        <v>37</v>
      </c>
      <c r="G10" s="39" t="s">
        <v>38</v>
      </c>
      <c r="H10" s="39" t="s">
        <v>39</v>
      </c>
      <c r="I10" s="39" t="s">
        <v>40</v>
      </c>
    </row>
    <row r="11">
      <c r="A11" s="40">
        <f>if($K$3,1,"")</f>
        <v>1</v>
      </c>
      <c r="B11" s="41">
        <f>IFERROR(IF($A$11:$A$370&lt;A11&gt;"",DATE(YEAR($D$7),MONTH($D$7)+$A$11:$A$370*12/$D$6,DAY($D$7)),""),"")</f>
        <v>45901</v>
      </c>
      <c r="C11" s="42">
        <f>IF(K3,D3,"")</f>
        <v>161055.8199</v>
      </c>
      <c r="D11" s="42">
        <f t="shared" ref="D11:D370" si="1">IF(AND($A$11:$A$370&lt;A11&gt;"",if(A11,1,0)),$H$3,"")</f>
        <v>1669.15689</v>
      </c>
      <c r="E11" s="42">
        <f t="shared" ref="E11:E370" si="2">IF(AND($A$11:$A$370&lt;&gt;"",$D$11:$D$370+$D$8&lt;$C$11:$C$370),$D$8,IF(AND($A$11:$A$370&lt;&gt;"",$C$11:$C$370-$D$11:$D$370&gt;0),$C$11:$C$370-$D$11:$D$370,IF($A$11:$A$370&lt;&gt;"",0,"")))</f>
        <v>0</v>
      </c>
      <c r="F11" s="42">
        <f t="shared" ref="F11:F370" si="3">IF(AND($A$11:$A$370&lt;&gt;"",$D$11:$D$370+$E$11:$E$370&lt;$C$11:$C$370),$D$11:$D$370+$E$11:$E$370,IF($A$11:$A$370&lt;&gt;"",$C$11:$C$370,""))</f>
        <v>1669.15689</v>
      </c>
      <c r="G11" s="42">
        <f t="shared" ref="G11:G370" si="4">IF($A$11:$A$370&lt;&gt;"",$F$11:$F$370-$H$11:$H$370,"")</f>
        <v>1065.197565</v>
      </c>
      <c r="H11" s="42">
        <f t="shared" ref="H11:H370" si="5">IF($A$11:$A$370&lt;&gt;"",$C$11:$C$370*($D$4/$D$6),"")</f>
        <v>603.9593248</v>
      </c>
      <c r="I11" s="42">
        <f t="shared" ref="I11:I370" si="6">IF(AND($A$11:$A$370&lt;&gt;"",$D$11:$D$370+$E$11:$E$370&lt;$C$11:$C$370),$C$11:$C$370-$G$11:$G$370,IF($A$11:$A$370&lt;&gt;"",0,""))</f>
        <v>159990.6224</v>
      </c>
      <c r="J11" s="43">
        <f t="shared" ref="J11:J130" si="7">I11/$D$3</f>
        <v>0.9933861591</v>
      </c>
    </row>
    <row r="12">
      <c r="A12" s="40">
        <f t="shared" ref="A12:A370" si="8">if(AND($K$3,if(I11,1,0)),A11+1,"")</f>
        <v>2</v>
      </c>
      <c r="B12" s="41">
        <f t="shared" ref="B12:B370" si="9">IF($A$11:$A$370&lt;&gt;"",DATE(YEAR($D$7),MONTH($D$7)+$A$11:$A$370*12/$D$6,DAY($D$7)),"")</f>
        <v>45931</v>
      </c>
      <c r="C12" s="42">
        <f t="shared" ref="C12:C370" si="10">IF($A$11:$A$370&lt;&gt;"",I11,"")</f>
        <v>159990.6224</v>
      </c>
      <c r="D12" s="42">
        <f t="shared" si="1"/>
        <v>1669.15689</v>
      </c>
      <c r="E12" s="42">
        <f t="shared" si="2"/>
        <v>0</v>
      </c>
      <c r="F12" s="42">
        <f t="shared" si="3"/>
        <v>1669.15689</v>
      </c>
      <c r="G12" s="42">
        <f t="shared" si="4"/>
        <v>1069.192056</v>
      </c>
      <c r="H12" s="42">
        <f t="shared" si="5"/>
        <v>599.9648339</v>
      </c>
      <c r="I12" s="42">
        <f t="shared" si="6"/>
        <v>158921.4303</v>
      </c>
      <c r="J12" s="43">
        <f t="shared" si="7"/>
        <v>0.9867475163</v>
      </c>
    </row>
    <row r="13">
      <c r="A13" s="40">
        <f t="shared" si="8"/>
        <v>3</v>
      </c>
      <c r="B13" s="41">
        <f t="shared" si="9"/>
        <v>45962</v>
      </c>
      <c r="C13" s="42">
        <f t="shared" si="10"/>
        <v>158921.4303</v>
      </c>
      <c r="D13" s="42">
        <f t="shared" si="1"/>
        <v>1669.15689</v>
      </c>
      <c r="E13" s="42">
        <f t="shared" si="2"/>
        <v>0</v>
      </c>
      <c r="F13" s="42">
        <f t="shared" si="3"/>
        <v>1669.15689</v>
      </c>
      <c r="G13" s="42">
        <f t="shared" si="4"/>
        <v>1073.201526</v>
      </c>
      <c r="H13" s="42">
        <f t="shared" si="5"/>
        <v>595.9553637</v>
      </c>
      <c r="I13" s="42">
        <f t="shared" si="6"/>
        <v>157848.2288</v>
      </c>
      <c r="J13" s="43">
        <f t="shared" si="7"/>
        <v>0.9800839787</v>
      </c>
    </row>
    <row r="14">
      <c r="A14" s="40">
        <f t="shared" si="8"/>
        <v>4</v>
      </c>
      <c r="B14" s="41">
        <f t="shared" si="9"/>
        <v>45992</v>
      </c>
      <c r="C14" s="42">
        <f t="shared" si="10"/>
        <v>157848.2288</v>
      </c>
      <c r="D14" s="42">
        <f t="shared" si="1"/>
        <v>1669.15689</v>
      </c>
      <c r="E14" s="42">
        <f t="shared" si="2"/>
        <v>0</v>
      </c>
      <c r="F14" s="42">
        <f t="shared" si="3"/>
        <v>1669.15689</v>
      </c>
      <c r="G14" s="42">
        <f t="shared" si="4"/>
        <v>1077.226032</v>
      </c>
      <c r="H14" s="42">
        <f t="shared" si="5"/>
        <v>591.930858</v>
      </c>
      <c r="I14" s="42">
        <f t="shared" si="6"/>
        <v>156771.0028</v>
      </c>
      <c r="J14" s="43">
        <f t="shared" si="7"/>
        <v>0.9733954527</v>
      </c>
    </row>
    <row r="15">
      <c r="A15" s="40">
        <f t="shared" si="8"/>
        <v>5</v>
      </c>
      <c r="B15" s="41">
        <f t="shared" si="9"/>
        <v>46023</v>
      </c>
      <c r="C15" s="42">
        <f t="shared" si="10"/>
        <v>156771.0028</v>
      </c>
      <c r="D15" s="42">
        <f t="shared" si="1"/>
        <v>1669.15689</v>
      </c>
      <c r="E15" s="42">
        <f t="shared" si="2"/>
        <v>0</v>
      </c>
      <c r="F15" s="42">
        <f t="shared" si="3"/>
        <v>1669.15689</v>
      </c>
      <c r="G15" s="42">
        <f t="shared" si="4"/>
        <v>1081.26563</v>
      </c>
      <c r="H15" s="42">
        <f t="shared" si="5"/>
        <v>587.8912603</v>
      </c>
      <c r="I15" s="42">
        <f t="shared" si="6"/>
        <v>155689.7371</v>
      </c>
      <c r="J15" s="43">
        <f t="shared" si="7"/>
        <v>0.9666818448</v>
      </c>
    </row>
    <row r="16">
      <c r="A16" s="40">
        <f t="shared" si="8"/>
        <v>6</v>
      </c>
      <c r="B16" s="41">
        <f t="shared" si="9"/>
        <v>46054</v>
      </c>
      <c r="C16" s="42">
        <f t="shared" si="10"/>
        <v>155689.7371</v>
      </c>
      <c r="D16" s="42">
        <f t="shared" si="1"/>
        <v>1669.15689</v>
      </c>
      <c r="E16" s="42">
        <f t="shared" si="2"/>
        <v>0</v>
      </c>
      <c r="F16" s="42">
        <f t="shared" si="3"/>
        <v>1669.15689</v>
      </c>
      <c r="G16" s="42">
        <f t="shared" si="4"/>
        <v>1085.320376</v>
      </c>
      <c r="H16" s="42">
        <f t="shared" si="5"/>
        <v>583.8365142</v>
      </c>
      <c r="I16" s="42">
        <f t="shared" si="6"/>
        <v>154604.4168</v>
      </c>
      <c r="J16" s="43">
        <f t="shared" si="7"/>
        <v>0.9599430608</v>
      </c>
    </row>
    <row r="17">
      <c r="A17" s="40">
        <f t="shared" si="8"/>
        <v>7</v>
      </c>
      <c r="B17" s="41">
        <f t="shared" si="9"/>
        <v>46082</v>
      </c>
      <c r="C17" s="42">
        <f t="shared" si="10"/>
        <v>154604.4168</v>
      </c>
      <c r="D17" s="42">
        <f t="shared" si="1"/>
        <v>1669.15689</v>
      </c>
      <c r="E17" s="42">
        <f t="shared" si="2"/>
        <v>0</v>
      </c>
      <c r="F17" s="42">
        <f t="shared" si="3"/>
        <v>1669.15689</v>
      </c>
      <c r="G17" s="42">
        <f t="shared" si="4"/>
        <v>1089.390327</v>
      </c>
      <c r="H17" s="42">
        <f t="shared" si="5"/>
        <v>579.7665628</v>
      </c>
      <c r="I17" s="42">
        <f t="shared" si="6"/>
        <v>153515.0264</v>
      </c>
      <c r="J17" s="43">
        <f t="shared" si="7"/>
        <v>0.9531790064</v>
      </c>
    </row>
    <row r="18">
      <c r="A18" s="40">
        <f t="shared" si="8"/>
        <v>8</v>
      </c>
      <c r="B18" s="41">
        <f t="shared" si="9"/>
        <v>46113</v>
      </c>
      <c r="C18" s="42">
        <f t="shared" si="10"/>
        <v>153515.0264</v>
      </c>
      <c r="D18" s="42">
        <f t="shared" si="1"/>
        <v>1669.15689</v>
      </c>
      <c r="E18" s="42">
        <f t="shared" si="2"/>
        <v>0</v>
      </c>
      <c r="F18" s="42">
        <f t="shared" si="3"/>
        <v>1669.15689</v>
      </c>
      <c r="G18" s="42">
        <f t="shared" si="4"/>
        <v>1093.475541</v>
      </c>
      <c r="H18" s="42">
        <f t="shared" si="5"/>
        <v>575.6813491</v>
      </c>
      <c r="I18" s="42">
        <f t="shared" si="6"/>
        <v>152421.5509</v>
      </c>
      <c r="J18" s="43">
        <f t="shared" si="7"/>
        <v>0.9463895868</v>
      </c>
    </row>
    <row r="19">
      <c r="A19" s="40">
        <f t="shared" si="8"/>
        <v>9</v>
      </c>
      <c r="B19" s="41">
        <f t="shared" si="9"/>
        <v>46143</v>
      </c>
      <c r="C19" s="42">
        <f t="shared" si="10"/>
        <v>152421.5509</v>
      </c>
      <c r="D19" s="42">
        <f t="shared" si="1"/>
        <v>1669.15689</v>
      </c>
      <c r="E19" s="42">
        <f t="shared" si="2"/>
        <v>0</v>
      </c>
      <c r="F19" s="42">
        <f t="shared" si="3"/>
        <v>1669.15689</v>
      </c>
      <c r="G19" s="42">
        <f t="shared" si="4"/>
        <v>1097.576074</v>
      </c>
      <c r="H19" s="42">
        <f t="shared" si="5"/>
        <v>571.5808158</v>
      </c>
      <c r="I19" s="42">
        <f t="shared" si="6"/>
        <v>151323.9748</v>
      </c>
      <c r="J19" s="43">
        <f t="shared" si="7"/>
        <v>0.9395747069</v>
      </c>
    </row>
    <row r="20">
      <c r="A20" s="40">
        <f t="shared" si="8"/>
        <v>10</v>
      </c>
      <c r="B20" s="41">
        <f t="shared" si="9"/>
        <v>46174</v>
      </c>
      <c r="C20" s="42">
        <f t="shared" si="10"/>
        <v>151323.9748</v>
      </c>
      <c r="D20" s="42">
        <f t="shared" si="1"/>
        <v>1669.15689</v>
      </c>
      <c r="E20" s="42">
        <f t="shared" si="2"/>
        <v>0</v>
      </c>
      <c r="F20" s="42">
        <f t="shared" si="3"/>
        <v>1669.15689</v>
      </c>
      <c r="G20" s="42">
        <f t="shared" si="4"/>
        <v>1101.691984</v>
      </c>
      <c r="H20" s="42">
        <f t="shared" si="5"/>
        <v>567.4649055</v>
      </c>
      <c r="I20" s="42">
        <f t="shared" si="6"/>
        <v>150222.2828</v>
      </c>
      <c r="J20" s="43">
        <f t="shared" si="7"/>
        <v>0.9327342712</v>
      </c>
    </row>
    <row r="21">
      <c r="A21" s="40">
        <f t="shared" si="8"/>
        <v>11</v>
      </c>
      <c r="B21" s="41">
        <f t="shared" si="9"/>
        <v>46204</v>
      </c>
      <c r="C21" s="42">
        <f t="shared" si="10"/>
        <v>150222.2828</v>
      </c>
      <c r="D21" s="42">
        <f t="shared" si="1"/>
        <v>1669.15689</v>
      </c>
      <c r="E21" s="42">
        <f t="shared" si="2"/>
        <v>0</v>
      </c>
      <c r="F21" s="42">
        <f t="shared" si="3"/>
        <v>1669.15689</v>
      </c>
      <c r="G21" s="42">
        <f t="shared" si="4"/>
        <v>1105.823329</v>
      </c>
      <c r="H21" s="42">
        <f t="shared" si="5"/>
        <v>563.3335606</v>
      </c>
      <c r="I21" s="42">
        <f t="shared" si="6"/>
        <v>149116.4595</v>
      </c>
      <c r="J21" s="43">
        <f t="shared" si="7"/>
        <v>0.9258681838</v>
      </c>
    </row>
    <row r="22">
      <c r="A22" s="40">
        <f t="shared" si="8"/>
        <v>12</v>
      </c>
      <c r="B22" s="41">
        <f t="shared" si="9"/>
        <v>46235</v>
      </c>
      <c r="C22" s="42">
        <f t="shared" si="10"/>
        <v>149116.4595</v>
      </c>
      <c r="D22" s="42">
        <f t="shared" si="1"/>
        <v>1669.15689</v>
      </c>
      <c r="E22" s="42">
        <f t="shared" si="2"/>
        <v>0</v>
      </c>
      <c r="F22" s="42">
        <f t="shared" si="3"/>
        <v>1669.15689</v>
      </c>
      <c r="G22" s="42">
        <f t="shared" si="4"/>
        <v>1109.970167</v>
      </c>
      <c r="H22" s="42">
        <f t="shared" si="5"/>
        <v>559.1867231</v>
      </c>
      <c r="I22" s="42">
        <f t="shared" si="6"/>
        <v>148006.4893</v>
      </c>
      <c r="J22" s="43">
        <f t="shared" si="7"/>
        <v>0.9189763486</v>
      </c>
    </row>
    <row r="23">
      <c r="A23" s="40">
        <f t="shared" si="8"/>
        <v>13</v>
      </c>
      <c r="B23" s="41">
        <f t="shared" si="9"/>
        <v>46266</v>
      </c>
      <c r="C23" s="42">
        <f t="shared" si="10"/>
        <v>148006.4893</v>
      </c>
      <c r="D23" s="42">
        <f t="shared" si="1"/>
        <v>1669.15689</v>
      </c>
      <c r="E23" s="42">
        <f t="shared" si="2"/>
        <v>0</v>
      </c>
      <c r="F23" s="42">
        <f t="shared" si="3"/>
        <v>1669.15689</v>
      </c>
      <c r="G23" s="42">
        <f t="shared" si="4"/>
        <v>1114.132555</v>
      </c>
      <c r="H23" s="42">
        <f t="shared" si="5"/>
        <v>555.024335</v>
      </c>
      <c r="I23" s="42">
        <f t="shared" si="6"/>
        <v>146892.3568</v>
      </c>
      <c r="J23" s="43">
        <f t="shared" si="7"/>
        <v>0.9120586691</v>
      </c>
    </row>
    <row r="24">
      <c r="A24" s="40">
        <f t="shared" si="8"/>
        <v>14</v>
      </c>
      <c r="B24" s="41">
        <f t="shared" si="9"/>
        <v>46296</v>
      </c>
      <c r="C24" s="42">
        <f t="shared" si="10"/>
        <v>146892.3568</v>
      </c>
      <c r="D24" s="42">
        <f t="shared" si="1"/>
        <v>1669.15689</v>
      </c>
      <c r="E24" s="42">
        <f t="shared" si="2"/>
        <v>0</v>
      </c>
      <c r="F24" s="42">
        <f t="shared" si="3"/>
        <v>1669.15689</v>
      </c>
      <c r="G24" s="42">
        <f t="shared" si="4"/>
        <v>1118.310552</v>
      </c>
      <c r="H24" s="42">
        <f t="shared" si="5"/>
        <v>550.8463379</v>
      </c>
      <c r="I24" s="42">
        <f t="shared" si="6"/>
        <v>145774.0462</v>
      </c>
      <c r="J24" s="43">
        <f t="shared" si="7"/>
        <v>0.9051150482</v>
      </c>
    </row>
    <row r="25">
      <c r="A25" s="40">
        <f t="shared" si="8"/>
        <v>15</v>
      </c>
      <c r="B25" s="41">
        <f t="shared" si="9"/>
        <v>46327</v>
      </c>
      <c r="C25" s="42">
        <f t="shared" si="10"/>
        <v>145774.0462</v>
      </c>
      <c r="D25" s="42">
        <f t="shared" si="1"/>
        <v>1669.15689</v>
      </c>
      <c r="E25" s="42">
        <f t="shared" si="2"/>
        <v>0</v>
      </c>
      <c r="F25" s="42">
        <f t="shared" si="3"/>
        <v>1669.15689</v>
      </c>
      <c r="G25" s="42">
        <f t="shared" si="4"/>
        <v>1122.504217</v>
      </c>
      <c r="H25" s="42">
        <f t="shared" si="5"/>
        <v>546.6526733</v>
      </c>
      <c r="I25" s="42">
        <f t="shared" si="6"/>
        <v>144651.542</v>
      </c>
      <c r="J25" s="43">
        <f t="shared" si="7"/>
        <v>0.8981453887</v>
      </c>
    </row>
    <row r="26">
      <c r="A26" s="40">
        <f t="shared" si="8"/>
        <v>16</v>
      </c>
      <c r="B26" s="41">
        <f t="shared" si="9"/>
        <v>46357</v>
      </c>
      <c r="C26" s="42">
        <f t="shared" si="10"/>
        <v>144651.542</v>
      </c>
      <c r="D26" s="42">
        <f t="shared" si="1"/>
        <v>1669.15689</v>
      </c>
      <c r="E26" s="42">
        <f t="shared" si="2"/>
        <v>0</v>
      </c>
      <c r="F26" s="42">
        <f t="shared" si="3"/>
        <v>1669.15689</v>
      </c>
      <c r="G26" s="42">
        <f t="shared" si="4"/>
        <v>1126.713607</v>
      </c>
      <c r="H26" s="42">
        <f t="shared" si="5"/>
        <v>542.4432825</v>
      </c>
      <c r="I26" s="42">
        <f t="shared" si="6"/>
        <v>143524.8284</v>
      </c>
      <c r="J26" s="43">
        <f t="shared" si="7"/>
        <v>0.8911495931</v>
      </c>
    </row>
    <row r="27">
      <c r="A27" s="40">
        <f t="shared" si="8"/>
        <v>17</v>
      </c>
      <c r="B27" s="41">
        <f t="shared" si="9"/>
        <v>46388</v>
      </c>
      <c r="C27" s="42">
        <f t="shared" si="10"/>
        <v>143524.8284</v>
      </c>
      <c r="D27" s="42">
        <f t="shared" si="1"/>
        <v>1669.15689</v>
      </c>
      <c r="E27" s="42">
        <f t="shared" si="2"/>
        <v>0</v>
      </c>
      <c r="F27" s="42">
        <f t="shared" si="3"/>
        <v>1669.15689</v>
      </c>
      <c r="G27" s="42">
        <f t="shared" si="4"/>
        <v>1130.938783</v>
      </c>
      <c r="H27" s="42">
        <f t="shared" si="5"/>
        <v>538.2181065</v>
      </c>
      <c r="I27" s="42">
        <f t="shared" si="6"/>
        <v>142393.8896</v>
      </c>
      <c r="J27" s="43">
        <f t="shared" si="7"/>
        <v>0.8841275632</v>
      </c>
    </row>
    <row r="28">
      <c r="A28" s="40">
        <f t="shared" si="8"/>
        <v>18</v>
      </c>
      <c r="B28" s="41">
        <f t="shared" si="9"/>
        <v>46419</v>
      </c>
      <c r="C28" s="42">
        <f t="shared" si="10"/>
        <v>142393.8896</v>
      </c>
      <c r="D28" s="42">
        <f t="shared" si="1"/>
        <v>1669.15689</v>
      </c>
      <c r="E28" s="42">
        <f t="shared" si="2"/>
        <v>0</v>
      </c>
      <c r="F28" s="42">
        <f t="shared" si="3"/>
        <v>1669.15689</v>
      </c>
      <c r="G28" s="42">
        <f t="shared" si="4"/>
        <v>1135.179804</v>
      </c>
      <c r="H28" s="42">
        <f t="shared" si="5"/>
        <v>533.9770861</v>
      </c>
      <c r="I28" s="42">
        <f t="shared" si="6"/>
        <v>141258.7098</v>
      </c>
      <c r="J28" s="43">
        <f t="shared" si="7"/>
        <v>0.8770792007</v>
      </c>
    </row>
    <row r="29">
      <c r="A29" s="40">
        <f t="shared" si="8"/>
        <v>19</v>
      </c>
      <c r="B29" s="41">
        <f t="shared" si="9"/>
        <v>46447</v>
      </c>
      <c r="C29" s="42">
        <f t="shared" si="10"/>
        <v>141258.7098</v>
      </c>
      <c r="D29" s="42">
        <f t="shared" si="1"/>
        <v>1669.15689</v>
      </c>
      <c r="E29" s="42">
        <f t="shared" si="2"/>
        <v>0</v>
      </c>
      <c r="F29" s="42">
        <f t="shared" si="3"/>
        <v>1669.15689</v>
      </c>
      <c r="G29" s="42">
        <f t="shared" si="4"/>
        <v>1139.436728</v>
      </c>
      <c r="H29" s="42">
        <f t="shared" si="5"/>
        <v>529.7201618</v>
      </c>
      <c r="I29" s="42">
        <f t="shared" si="6"/>
        <v>140119.2731</v>
      </c>
      <c r="J29" s="43">
        <f t="shared" si="7"/>
        <v>0.8700044068</v>
      </c>
    </row>
    <row r="30">
      <c r="A30" s="40">
        <f t="shared" si="8"/>
        <v>20</v>
      </c>
      <c r="B30" s="41">
        <f t="shared" si="9"/>
        <v>46478</v>
      </c>
      <c r="C30" s="42">
        <f t="shared" si="10"/>
        <v>140119.2731</v>
      </c>
      <c r="D30" s="42">
        <f t="shared" si="1"/>
        <v>1669.15689</v>
      </c>
      <c r="E30" s="42">
        <f t="shared" si="2"/>
        <v>0</v>
      </c>
      <c r="F30" s="42">
        <f t="shared" si="3"/>
        <v>1669.15689</v>
      </c>
      <c r="G30" s="42">
        <f t="shared" si="4"/>
        <v>1143.709616</v>
      </c>
      <c r="H30" s="42">
        <f t="shared" si="5"/>
        <v>525.4472741</v>
      </c>
      <c r="I30" s="42">
        <f t="shared" si="6"/>
        <v>138975.5635</v>
      </c>
      <c r="J30" s="43">
        <f t="shared" si="7"/>
        <v>0.8629030824</v>
      </c>
    </row>
    <row r="31">
      <c r="A31" s="40">
        <f t="shared" si="8"/>
        <v>21</v>
      </c>
      <c r="B31" s="41">
        <f t="shared" si="9"/>
        <v>46508</v>
      </c>
      <c r="C31" s="42">
        <f t="shared" si="10"/>
        <v>138975.5635</v>
      </c>
      <c r="D31" s="42">
        <f t="shared" si="1"/>
        <v>1669.15689</v>
      </c>
      <c r="E31" s="42">
        <f t="shared" si="2"/>
        <v>0</v>
      </c>
      <c r="F31" s="42">
        <f t="shared" si="3"/>
        <v>1669.15689</v>
      </c>
      <c r="G31" s="42">
        <f t="shared" si="4"/>
        <v>1147.998527</v>
      </c>
      <c r="H31" s="42">
        <f t="shared" si="5"/>
        <v>521.158363</v>
      </c>
      <c r="I31" s="42">
        <f t="shared" si="6"/>
        <v>137827.5649</v>
      </c>
      <c r="J31" s="43">
        <f t="shared" si="7"/>
        <v>0.8557751281</v>
      </c>
    </row>
    <row r="32">
      <c r="A32" s="40">
        <f t="shared" si="8"/>
        <v>22</v>
      </c>
      <c r="B32" s="41">
        <f t="shared" si="9"/>
        <v>46539</v>
      </c>
      <c r="C32" s="42">
        <f t="shared" si="10"/>
        <v>137827.5649</v>
      </c>
      <c r="D32" s="42">
        <f t="shared" si="1"/>
        <v>1669.15689</v>
      </c>
      <c r="E32" s="42">
        <f t="shared" si="2"/>
        <v>0</v>
      </c>
      <c r="F32" s="42">
        <f t="shared" si="3"/>
        <v>1669.15689</v>
      </c>
      <c r="G32" s="42">
        <f t="shared" si="4"/>
        <v>1152.303521</v>
      </c>
      <c r="H32" s="42">
        <f t="shared" si="5"/>
        <v>516.8533685</v>
      </c>
      <c r="I32" s="42">
        <f t="shared" si="6"/>
        <v>136675.2614</v>
      </c>
      <c r="J32" s="43">
        <f t="shared" si="7"/>
        <v>0.848620444</v>
      </c>
    </row>
    <row r="33">
      <c r="A33" s="40">
        <f t="shared" si="8"/>
        <v>23</v>
      </c>
      <c r="B33" s="41">
        <f t="shared" si="9"/>
        <v>46569</v>
      </c>
      <c r="C33" s="42">
        <f t="shared" si="10"/>
        <v>136675.2614</v>
      </c>
      <c r="D33" s="42">
        <f t="shared" si="1"/>
        <v>1669.15689</v>
      </c>
      <c r="E33" s="42">
        <f t="shared" si="2"/>
        <v>0</v>
      </c>
      <c r="F33" s="42">
        <f t="shared" si="3"/>
        <v>1669.15689</v>
      </c>
      <c r="G33" s="42">
        <f t="shared" si="4"/>
        <v>1156.62466</v>
      </c>
      <c r="H33" s="42">
        <f t="shared" si="5"/>
        <v>512.5322303</v>
      </c>
      <c r="I33" s="42">
        <f t="shared" si="6"/>
        <v>135518.6368</v>
      </c>
      <c r="J33" s="43">
        <f t="shared" si="7"/>
        <v>0.8414389298</v>
      </c>
    </row>
    <row r="34">
      <c r="A34" s="40">
        <f t="shared" si="8"/>
        <v>24</v>
      </c>
      <c r="B34" s="41">
        <f t="shared" si="9"/>
        <v>46600</v>
      </c>
      <c r="C34" s="42">
        <f t="shared" si="10"/>
        <v>135518.6368</v>
      </c>
      <c r="D34" s="42">
        <f t="shared" si="1"/>
        <v>1669.15689</v>
      </c>
      <c r="E34" s="42">
        <f t="shared" si="2"/>
        <v>0</v>
      </c>
      <c r="F34" s="42">
        <f t="shared" si="3"/>
        <v>1669.15689</v>
      </c>
      <c r="G34" s="42">
        <f t="shared" si="4"/>
        <v>1160.962002</v>
      </c>
      <c r="H34" s="42">
        <f t="shared" si="5"/>
        <v>508.1948878</v>
      </c>
      <c r="I34" s="42">
        <f t="shared" si="6"/>
        <v>134357.6748</v>
      </c>
      <c r="J34" s="43">
        <f t="shared" si="7"/>
        <v>0.8342304849</v>
      </c>
    </row>
    <row r="35">
      <c r="A35" s="40">
        <f t="shared" si="8"/>
        <v>25</v>
      </c>
      <c r="B35" s="41">
        <f t="shared" si="9"/>
        <v>46631</v>
      </c>
      <c r="C35" s="42">
        <f t="shared" si="10"/>
        <v>134357.6748</v>
      </c>
      <c r="D35" s="42">
        <f t="shared" si="1"/>
        <v>1669.15689</v>
      </c>
      <c r="E35" s="42">
        <f t="shared" si="2"/>
        <v>0</v>
      </c>
      <c r="F35" s="42">
        <f t="shared" si="3"/>
        <v>1669.15689</v>
      </c>
      <c r="G35" s="42">
        <f t="shared" si="4"/>
        <v>1165.31561</v>
      </c>
      <c r="H35" s="42">
        <f t="shared" si="5"/>
        <v>503.8412803</v>
      </c>
      <c r="I35" s="42">
        <f t="shared" si="6"/>
        <v>133192.3591</v>
      </c>
      <c r="J35" s="43">
        <f t="shared" si="7"/>
        <v>0.8269950083</v>
      </c>
    </row>
    <row r="36">
      <c r="A36" s="40">
        <f t="shared" si="8"/>
        <v>26</v>
      </c>
      <c r="B36" s="41">
        <f t="shared" si="9"/>
        <v>46661</v>
      </c>
      <c r="C36" s="42">
        <f t="shared" si="10"/>
        <v>133192.3591</v>
      </c>
      <c r="D36" s="42">
        <f t="shared" si="1"/>
        <v>1669.15689</v>
      </c>
      <c r="E36" s="42">
        <f t="shared" si="2"/>
        <v>0</v>
      </c>
      <c r="F36" s="42">
        <f t="shared" si="3"/>
        <v>1669.15689</v>
      </c>
      <c r="G36" s="42">
        <f t="shared" si="4"/>
        <v>1169.685543</v>
      </c>
      <c r="H36" s="42">
        <f t="shared" si="5"/>
        <v>499.4713468</v>
      </c>
      <c r="I36" s="42">
        <f t="shared" si="6"/>
        <v>132022.6736</v>
      </c>
      <c r="J36" s="43">
        <f t="shared" si="7"/>
        <v>0.8197323987</v>
      </c>
    </row>
    <row r="37">
      <c r="A37" s="40">
        <f t="shared" si="8"/>
        <v>27</v>
      </c>
      <c r="B37" s="41">
        <f t="shared" si="9"/>
        <v>46692</v>
      </c>
      <c r="C37" s="42">
        <f t="shared" si="10"/>
        <v>132022.6736</v>
      </c>
      <c r="D37" s="42">
        <f t="shared" si="1"/>
        <v>1669.15689</v>
      </c>
      <c r="E37" s="42">
        <f t="shared" si="2"/>
        <v>0</v>
      </c>
      <c r="F37" s="42">
        <f t="shared" si="3"/>
        <v>1669.15689</v>
      </c>
      <c r="G37" s="42">
        <f t="shared" si="4"/>
        <v>1174.071864</v>
      </c>
      <c r="H37" s="42">
        <f t="shared" si="5"/>
        <v>495.085026</v>
      </c>
      <c r="I37" s="42">
        <f t="shared" si="6"/>
        <v>130848.6017</v>
      </c>
      <c r="J37" s="43">
        <f t="shared" si="7"/>
        <v>0.8124425543</v>
      </c>
    </row>
    <row r="38">
      <c r="A38" s="40">
        <f t="shared" si="8"/>
        <v>28</v>
      </c>
      <c r="B38" s="41">
        <f t="shared" si="9"/>
        <v>46722</v>
      </c>
      <c r="C38" s="42">
        <f t="shared" si="10"/>
        <v>130848.6017</v>
      </c>
      <c r="D38" s="42">
        <f t="shared" si="1"/>
        <v>1669.15689</v>
      </c>
      <c r="E38" s="42">
        <f t="shared" si="2"/>
        <v>0</v>
      </c>
      <c r="F38" s="42">
        <f t="shared" si="3"/>
        <v>1669.15689</v>
      </c>
      <c r="G38" s="42">
        <f t="shared" si="4"/>
        <v>1178.474633</v>
      </c>
      <c r="H38" s="42">
        <f t="shared" si="5"/>
        <v>490.6822565</v>
      </c>
      <c r="I38" s="42">
        <f t="shared" si="6"/>
        <v>129670.1271</v>
      </c>
      <c r="J38" s="43">
        <f t="shared" si="7"/>
        <v>0.805125373</v>
      </c>
    </row>
    <row r="39">
      <c r="A39" s="40">
        <f t="shared" si="8"/>
        <v>29</v>
      </c>
      <c r="B39" s="41">
        <f t="shared" si="9"/>
        <v>46753</v>
      </c>
      <c r="C39" s="42">
        <f t="shared" si="10"/>
        <v>129670.1271</v>
      </c>
      <c r="D39" s="42">
        <f t="shared" si="1"/>
        <v>1669.15689</v>
      </c>
      <c r="E39" s="42">
        <f t="shared" si="2"/>
        <v>0</v>
      </c>
      <c r="F39" s="42">
        <f t="shared" si="3"/>
        <v>1669.15689</v>
      </c>
      <c r="G39" s="42">
        <f t="shared" si="4"/>
        <v>1182.893913</v>
      </c>
      <c r="H39" s="42">
        <f t="shared" si="5"/>
        <v>486.2629767</v>
      </c>
      <c r="I39" s="42">
        <f t="shared" si="6"/>
        <v>128487.2332</v>
      </c>
      <c r="J39" s="43">
        <f t="shared" si="7"/>
        <v>0.7977807523</v>
      </c>
    </row>
    <row r="40">
      <c r="A40" s="40">
        <f t="shared" si="8"/>
        <v>30</v>
      </c>
      <c r="B40" s="41">
        <f t="shared" si="9"/>
        <v>46784</v>
      </c>
      <c r="C40" s="42">
        <f t="shared" si="10"/>
        <v>128487.2332</v>
      </c>
      <c r="D40" s="42">
        <f t="shared" si="1"/>
        <v>1669.15689</v>
      </c>
      <c r="E40" s="42">
        <f t="shared" si="2"/>
        <v>0</v>
      </c>
      <c r="F40" s="42">
        <f t="shared" si="3"/>
        <v>1669.15689</v>
      </c>
      <c r="G40" s="42">
        <f t="shared" si="4"/>
        <v>1187.329765</v>
      </c>
      <c r="H40" s="42">
        <f t="shared" si="5"/>
        <v>481.8271245</v>
      </c>
      <c r="I40" s="42">
        <f t="shared" si="6"/>
        <v>127299.9034</v>
      </c>
      <c r="J40" s="43">
        <f t="shared" si="7"/>
        <v>0.7904085893</v>
      </c>
    </row>
    <row r="41">
      <c r="A41" s="40">
        <f t="shared" si="8"/>
        <v>31</v>
      </c>
      <c r="B41" s="41">
        <f t="shared" si="9"/>
        <v>46813</v>
      </c>
      <c r="C41" s="42">
        <f t="shared" si="10"/>
        <v>127299.9034</v>
      </c>
      <c r="D41" s="42">
        <f t="shared" si="1"/>
        <v>1669.15689</v>
      </c>
      <c r="E41" s="42">
        <f t="shared" si="2"/>
        <v>0</v>
      </c>
      <c r="F41" s="42">
        <f t="shared" si="3"/>
        <v>1669.15689</v>
      </c>
      <c r="G41" s="42">
        <f t="shared" si="4"/>
        <v>1191.782252</v>
      </c>
      <c r="H41" s="42">
        <f t="shared" si="5"/>
        <v>477.3746379</v>
      </c>
      <c r="I41" s="42">
        <f t="shared" si="6"/>
        <v>126108.1212</v>
      </c>
      <c r="J41" s="43">
        <f t="shared" si="7"/>
        <v>0.7830087806</v>
      </c>
    </row>
    <row r="42">
      <c r="A42" s="40">
        <f t="shared" si="8"/>
        <v>32</v>
      </c>
      <c r="B42" s="41">
        <f t="shared" si="9"/>
        <v>46844</v>
      </c>
      <c r="C42" s="42">
        <f t="shared" si="10"/>
        <v>126108.1212</v>
      </c>
      <c r="D42" s="42">
        <f t="shared" si="1"/>
        <v>1669.15689</v>
      </c>
      <c r="E42" s="42">
        <f t="shared" si="2"/>
        <v>0</v>
      </c>
      <c r="F42" s="42">
        <f t="shared" si="3"/>
        <v>1669.15689</v>
      </c>
      <c r="G42" s="42">
        <f t="shared" si="4"/>
        <v>1196.251436</v>
      </c>
      <c r="H42" s="42">
        <f t="shared" si="5"/>
        <v>472.9054544</v>
      </c>
      <c r="I42" s="42">
        <f t="shared" si="6"/>
        <v>124911.8697</v>
      </c>
      <c r="J42" s="43">
        <f t="shared" si="7"/>
        <v>0.7755812226</v>
      </c>
    </row>
    <row r="43">
      <c r="A43" s="40">
        <f t="shared" si="8"/>
        <v>33</v>
      </c>
      <c r="B43" s="41">
        <f t="shared" si="9"/>
        <v>46874</v>
      </c>
      <c r="C43" s="42">
        <f t="shared" si="10"/>
        <v>124911.8697</v>
      </c>
      <c r="D43" s="42">
        <f t="shared" si="1"/>
        <v>1669.15689</v>
      </c>
      <c r="E43" s="42">
        <f t="shared" si="2"/>
        <v>0</v>
      </c>
      <c r="F43" s="42">
        <f t="shared" si="3"/>
        <v>1669.15689</v>
      </c>
      <c r="G43" s="42">
        <f t="shared" si="4"/>
        <v>1200.737378</v>
      </c>
      <c r="H43" s="42">
        <f t="shared" si="5"/>
        <v>468.4195115</v>
      </c>
      <c r="I43" s="42">
        <f t="shared" si="6"/>
        <v>123711.1324</v>
      </c>
      <c r="J43" s="43">
        <f t="shared" si="7"/>
        <v>0.7681258114</v>
      </c>
    </row>
    <row r="44">
      <c r="A44" s="40">
        <f t="shared" si="8"/>
        <v>34</v>
      </c>
      <c r="B44" s="41">
        <f t="shared" si="9"/>
        <v>46905</v>
      </c>
      <c r="C44" s="42">
        <f t="shared" si="10"/>
        <v>123711.1324</v>
      </c>
      <c r="D44" s="42">
        <f t="shared" si="1"/>
        <v>1669.15689</v>
      </c>
      <c r="E44" s="42">
        <f t="shared" si="2"/>
        <v>0</v>
      </c>
      <c r="F44" s="42">
        <f t="shared" si="3"/>
        <v>1669.15689</v>
      </c>
      <c r="G44" s="42">
        <f t="shared" si="4"/>
        <v>1205.240144</v>
      </c>
      <c r="H44" s="42">
        <f t="shared" si="5"/>
        <v>463.9167464</v>
      </c>
      <c r="I44" s="42">
        <f t="shared" si="6"/>
        <v>122505.8922</v>
      </c>
      <c r="J44" s="43">
        <f t="shared" si="7"/>
        <v>0.7606424423</v>
      </c>
    </row>
    <row r="45">
      <c r="A45" s="40">
        <f t="shared" si="8"/>
        <v>35</v>
      </c>
      <c r="B45" s="41">
        <f t="shared" si="9"/>
        <v>46935</v>
      </c>
      <c r="C45" s="42">
        <f t="shared" si="10"/>
        <v>122505.8922</v>
      </c>
      <c r="D45" s="42">
        <f t="shared" si="1"/>
        <v>1669.15689</v>
      </c>
      <c r="E45" s="42">
        <f t="shared" si="2"/>
        <v>0</v>
      </c>
      <c r="F45" s="42">
        <f t="shared" si="3"/>
        <v>1669.15689</v>
      </c>
      <c r="G45" s="42">
        <f t="shared" si="4"/>
        <v>1209.759794</v>
      </c>
      <c r="H45" s="42">
        <f t="shared" si="5"/>
        <v>459.3970958</v>
      </c>
      <c r="I45" s="42">
        <f t="shared" si="6"/>
        <v>121296.1324</v>
      </c>
      <c r="J45" s="43">
        <f t="shared" si="7"/>
        <v>0.7531310106</v>
      </c>
    </row>
    <row r="46">
      <c r="A46" s="40">
        <f t="shared" si="8"/>
        <v>36</v>
      </c>
      <c r="B46" s="41">
        <f t="shared" si="9"/>
        <v>46966</v>
      </c>
      <c r="C46" s="42">
        <f t="shared" si="10"/>
        <v>121296.1324</v>
      </c>
      <c r="D46" s="42">
        <f t="shared" si="1"/>
        <v>1669.15689</v>
      </c>
      <c r="E46" s="42">
        <f t="shared" si="2"/>
        <v>0</v>
      </c>
      <c r="F46" s="42">
        <f t="shared" si="3"/>
        <v>1669.15689</v>
      </c>
      <c r="G46" s="42">
        <f t="shared" si="4"/>
        <v>1214.296393</v>
      </c>
      <c r="H46" s="42">
        <f t="shared" si="5"/>
        <v>454.8604966</v>
      </c>
      <c r="I46" s="42">
        <f t="shared" si="6"/>
        <v>120081.836</v>
      </c>
      <c r="J46" s="43">
        <f t="shared" si="7"/>
        <v>0.745591411</v>
      </c>
    </row>
    <row r="47">
      <c r="A47" s="40">
        <f t="shared" si="8"/>
        <v>37</v>
      </c>
      <c r="B47" s="41">
        <f t="shared" si="9"/>
        <v>46997</v>
      </c>
      <c r="C47" s="42">
        <f t="shared" si="10"/>
        <v>120081.836</v>
      </c>
      <c r="D47" s="42">
        <f t="shared" si="1"/>
        <v>1669.15689</v>
      </c>
      <c r="E47" s="42">
        <f t="shared" si="2"/>
        <v>0</v>
      </c>
      <c r="F47" s="42">
        <f t="shared" si="3"/>
        <v>1669.15689</v>
      </c>
      <c r="G47" s="42">
        <f t="shared" si="4"/>
        <v>1218.850005</v>
      </c>
      <c r="H47" s="42">
        <f t="shared" si="5"/>
        <v>450.3068851</v>
      </c>
      <c r="I47" s="42">
        <f t="shared" si="6"/>
        <v>118862.986</v>
      </c>
      <c r="J47" s="43">
        <f t="shared" si="7"/>
        <v>0.7380235379</v>
      </c>
    </row>
    <row r="48">
      <c r="A48" s="40">
        <f t="shared" si="8"/>
        <v>38</v>
      </c>
      <c r="B48" s="41">
        <f t="shared" si="9"/>
        <v>47027</v>
      </c>
      <c r="C48" s="42">
        <f t="shared" si="10"/>
        <v>118862.986</v>
      </c>
      <c r="D48" s="42">
        <f t="shared" si="1"/>
        <v>1669.15689</v>
      </c>
      <c r="E48" s="42">
        <f t="shared" si="2"/>
        <v>0</v>
      </c>
      <c r="F48" s="42">
        <f t="shared" si="3"/>
        <v>1669.15689</v>
      </c>
      <c r="G48" s="42">
        <f t="shared" si="4"/>
        <v>1223.420692</v>
      </c>
      <c r="H48" s="42">
        <f t="shared" si="5"/>
        <v>445.7361976</v>
      </c>
      <c r="I48" s="42">
        <f t="shared" si="6"/>
        <v>117639.5653</v>
      </c>
      <c r="J48" s="43">
        <f t="shared" si="7"/>
        <v>0.7304272853</v>
      </c>
    </row>
    <row r="49">
      <c r="A49" s="40">
        <f t="shared" si="8"/>
        <v>39</v>
      </c>
      <c r="B49" s="41">
        <f t="shared" si="9"/>
        <v>47058</v>
      </c>
      <c r="C49" s="42">
        <f t="shared" si="10"/>
        <v>117639.5653</v>
      </c>
      <c r="D49" s="42">
        <f t="shared" si="1"/>
        <v>1669.15689</v>
      </c>
      <c r="E49" s="42">
        <f t="shared" si="2"/>
        <v>0</v>
      </c>
      <c r="F49" s="42">
        <f t="shared" si="3"/>
        <v>1669.15689</v>
      </c>
      <c r="G49" s="42">
        <f t="shared" si="4"/>
        <v>1228.00852</v>
      </c>
      <c r="H49" s="42">
        <f t="shared" si="5"/>
        <v>441.14837</v>
      </c>
      <c r="I49" s="42">
        <f t="shared" si="6"/>
        <v>116411.5568</v>
      </c>
      <c r="J49" s="43">
        <f t="shared" si="7"/>
        <v>0.7228025467</v>
      </c>
    </row>
    <row r="50">
      <c r="A50" s="40">
        <f t="shared" si="8"/>
        <v>40</v>
      </c>
      <c r="B50" s="41">
        <f t="shared" si="9"/>
        <v>47088</v>
      </c>
      <c r="C50" s="42">
        <f t="shared" si="10"/>
        <v>116411.5568</v>
      </c>
      <c r="D50" s="42">
        <f t="shared" si="1"/>
        <v>1669.15689</v>
      </c>
      <c r="E50" s="42">
        <f t="shared" si="2"/>
        <v>0</v>
      </c>
      <c r="F50" s="42">
        <f t="shared" si="3"/>
        <v>1669.15689</v>
      </c>
      <c r="G50" s="42">
        <f t="shared" si="4"/>
        <v>1232.613552</v>
      </c>
      <c r="H50" s="42">
        <f t="shared" si="5"/>
        <v>436.5433381</v>
      </c>
      <c r="I50" s="42">
        <f t="shared" si="6"/>
        <v>115178.9433</v>
      </c>
      <c r="J50" s="43">
        <f t="shared" si="7"/>
        <v>0.7151492154</v>
      </c>
    </row>
    <row r="51">
      <c r="A51" s="40">
        <f t="shared" si="8"/>
        <v>41</v>
      </c>
      <c r="B51" s="41">
        <f t="shared" si="9"/>
        <v>47119</v>
      </c>
      <c r="C51" s="42">
        <f t="shared" si="10"/>
        <v>115178.9433</v>
      </c>
      <c r="D51" s="42">
        <f t="shared" si="1"/>
        <v>1669.15689</v>
      </c>
      <c r="E51" s="42">
        <f t="shared" si="2"/>
        <v>0</v>
      </c>
      <c r="F51" s="42">
        <f t="shared" si="3"/>
        <v>1669.15689</v>
      </c>
      <c r="G51" s="42">
        <f t="shared" si="4"/>
        <v>1237.235853</v>
      </c>
      <c r="H51" s="42">
        <f t="shared" si="5"/>
        <v>431.9210372</v>
      </c>
      <c r="I51" s="42">
        <f t="shared" si="6"/>
        <v>113941.7074</v>
      </c>
      <c r="J51" s="43">
        <f t="shared" si="7"/>
        <v>0.7074671841</v>
      </c>
    </row>
    <row r="52">
      <c r="A52" s="40">
        <f t="shared" si="8"/>
        <v>42</v>
      </c>
      <c r="B52" s="41">
        <f t="shared" si="9"/>
        <v>47150</v>
      </c>
      <c r="C52" s="42">
        <f t="shared" si="10"/>
        <v>113941.7074</v>
      </c>
      <c r="D52" s="42">
        <f t="shared" si="1"/>
        <v>1669.15689</v>
      </c>
      <c r="E52" s="42">
        <f t="shared" si="2"/>
        <v>0</v>
      </c>
      <c r="F52" s="42">
        <f t="shared" si="3"/>
        <v>1669.15689</v>
      </c>
      <c r="G52" s="42">
        <f t="shared" si="4"/>
        <v>1241.875487</v>
      </c>
      <c r="H52" s="42">
        <f t="shared" si="5"/>
        <v>427.2814028</v>
      </c>
      <c r="I52" s="42">
        <f t="shared" si="6"/>
        <v>112699.8319</v>
      </c>
      <c r="J52" s="43">
        <f t="shared" si="7"/>
        <v>0.6997563451</v>
      </c>
    </row>
    <row r="53">
      <c r="A53" s="40">
        <f t="shared" si="8"/>
        <v>43</v>
      </c>
      <c r="B53" s="41">
        <f t="shared" si="9"/>
        <v>47178</v>
      </c>
      <c r="C53" s="42">
        <f t="shared" si="10"/>
        <v>112699.8319</v>
      </c>
      <c r="D53" s="42">
        <f t="shared" si="1"/>
        <v>1669.15689</v>
      </c>
      <c r="E53" s="42">
        <f t="shared" si="2"/>
        <v>0</v>
      </c>
      <c r="F53" s="42">
        <f t="shared" si="3"/>
        <v>1669.15689</v>
      </c>
      <c r="G53" s="42">
        <f t="shared" si="4"/>
        <v>1246.53252</v>
      </c>
      <c r="H53" s="42">
        <f t="shared" si="5"/>
        <v>422.6243697</v>
      </c>
      <c r="I53" s="42">
        <f t="shared" si="6"/>
        <v>111453.2994</v>
      </c>
      <c r="J53" s="43">
        <f t="shared" si="7"/>
        <v>0.6920165906</v>
      </c>
    </row>
    <row r="54">
      <c r="A54" s="40">
        <f t="shared" si="8"/>
        <v>44</v>
      </c>
      <c r="B54" s="41">
        <f t="shared" si="9"/>
        <v>47209</v>
      </c>
      <c r="C54" s="42">
        <f t="shared" si="10"/>
        <v>111453.2994</v>
      </c>
      <c r="D54" s="42">
        <f t="shared" si="1"/>
        <v>1669.15689</v>
      </c>
      <c r="E54" s="42">
        <f t="shared" si="2"/>
        <v>0</v>
      </c>
      <c r="F54" s="42">
        <f t="shared" si="3"/>
        <v>1669.15689</v>
      </c>
      <c r="G54" s="42">
        <f t="shared" si="4"/>
        <v>1251.207017</v>
      </c>
      <c r="H54" s="42">
        <f t="shared" si="5"/>
        <v>417.9498728</v>
      </c>
      <c r="I54" s="42">
        <f t="shared" si="6"/>
        <v>110202.0924</v>
      </c>
      <c r="J54" s="43">
        <f t="shared" si="7"/>
        <v>0.6842478119</v>
      </c>
    </row>
    <row r="55">
      <c r="A55" s="40">
        <f t="shared" si="8"/>
        <v>45</v>
      </c>
      <c r="B55" s="41">
        <f t="shared" si="9"/>
        <v>47239</v>
      </c>
      <c r="C55" s="42">
        <f t="shared" si="10"/>
        <v>110202.0924</v>
      </c>
      <c r="D55" s="42">
        <f t="shared" si="1"/>
        <v>1669.15689</v>
      </c>
      <c r="E55" s="42">
        <f t="shared" si="2"/>
        <v>0</v>
      </c>
      <c r="F55" s="42">
        <f t="shared" si="3"/>
        <v>1669.15689</v>
      </c>
      <c r="G55" s="42">
        <f t="shared" si="4"/>
        <v>1255.899043</v>
      </c>
      <c r="H55" s="42">
        <f t="shared" si="5"/>
        <v>413.2578464</v>
      </c>
      <c r="I55" s="42">
        <f t="shared" si="6"/>
        <v>108946.1933</v>
      </c>
      <c r="J55" s="43">
        <f t="shared" si="7"/>
        <v>0.6764499003</v>
      </c>
    </row>
    <row r="56">
      <c r="A56" s="40">
        <f t="shared" si="8"/>
        <v>46</v>
      </c>
      <c r="B56" s="41">
        <f t="shared" si="9"/>
        <v>47270</v>
      </c>
      <c r="C56" s="42">
        <f t="shared" si="10"/>
        <v>108946.1933</v>
      </c>
      <c r="D56" s="42">
        <f t="shared" si="1"/>
        <v>1669.15689</v>
      </c>
      <c r="E56" s="42">
        <f t="shared" si="2"/>
        <v>0</v>
      </c>
      <c r="F56" s="42">
        <f t="shared" si="3"/>
        <v>1669.15689</v>
      </c>
      <c r="G56" s="42">
        <f t="shared" si="4"/>
        <v>1260.608665</v>
      </c>
      <c r="H56" s="42">
        <f t="shared" si="5"/>
        <v>408.548225</v>
      </c>
      <c r="I56" s="42">
        <f t="shared" si="6"/>
        <v>107685.5847</v>
      </c>
      <c r="J56" s="43">
        <f t="shared" si="7"/>
        <v>0.6686227466</v>
      </c>
    </row>
    <row r="57">
      <c r="A57" s="40">
        <f t="shared" si="8"/>
        <v>47</v>
      </c>
      <c r="B57" s="41">
        <f t="shared" si="9"/>
        <v>47300</v>
      </c>
      <c r="C57" s="42">
        <f t="shared" si="10"/>
        <v>107685.5847</v>
      </c>
      <c r="D57" s="42">
        <f t="shared" si="1"/>
        <v>1669.15689</v>
      </c>
      <c r="E57" s="42">
        <f t="shared" si="2"/>
        <v>0</v>
      </c>
      <c r="F57" s="42">
        <f t="shared" si="3"/>
        <v>1669.15689</v>
      </c>
      <c r="G57" s="42">
        <f t="shared" si="4"/>
        <v>1265.335947</v>
      </c>
      <c r="H57" s="42">
        <f t="shared" si="5"/>
        <v>403.8209425</v>
      </c>
      <c r="I57" s="42">
        <f t="shared" si="6"/>
        <v>106420.2487</v>
      </c>
      <c r="J57" s="43">
        <f t="shared" si="7"/>
        <v>0.660766241</v>
      </c>
    </row>
    <row r="58">
      <c r="A58" s="40">
        <f t="shared" si="8"/>
        <v>48</v>
      </c>
      <c r="B58" s="41">
        <f t="shared" si="9"/>
        <v>47331</v>
      </c>
      <c r="C58" s="42">
        <f t="shared" si="10"/>
        <v>106420.2487</v>
      </c>
      <c r="D58" s="42">
        <f t="shared" si="1"/>
        <v>1669.15689</v>
      </c>
      <c r="E58" s="42">
        <f t="shared" si="2"/>
        <v>0</v>
      </c>
      <c r="F58" s="42">
        <f t="shared" si="3"/>
        <v>1669.15689</v>
      </c>
      <c r="G58" s="42">
        <f t="shared" si="4"/>
        <v>1270.080957</v>
      </c>
      <c r="H58" s="42">
        <f t="shared" si="5"/>
        <v>399.0759327</v>
      </c>
      <c r="I58" s="42">
        <f t="shared" si="6"/>
        <v>105150.1678</v>
      </c>
      <c r="J58" s="43">
        <f t="shared" si="7"/>
        <v>0.6528802735</v>
      </c>
    </row>
    <row r="59">
      <c r="A59" s="40">
        <f t="shared" si="8"/>
        <v>49</v>
      </c>
      <c r="B59" s="41">
        <f t="shared" si="9"/>
        <v>47362</v>
      </c>
      <c r="C59" s="42">
        <f t="shared" si="10"/>
        <v>105150.1678</v>
      </c>
      <c r="D59" s="42">
        <f t="shared" si="1"/>
        <v>1669.15689</v>
      </c>
      <c r="E59" s="42">
        <f t="shared" si="2"/>
        <v>0</v>
      </c>
      <c r="F59" s="42">
        <f t="shared" si="3"/>
        <v>1669.15689</v>
      </c>
      <c r="G59" s="42">
        <f t="shared" si="4"/>
        <v>1274.843761</v>
      </c>
      <c r="H59" s="42">
        <f t="shared" si="5"/>
        <v>394.3131291</v>
      </c>
      <c r="I59" s="42">
        <f t="shared" si="6"/>
        <v>103875.324</v>
      </c>
      <c r="J59" s="43">
        <f t="shared" si="7"/>
        <v>0.6449647337</v>
      </c>
    </row>
    <row r="60">
      <c r="A60" s="40">
        <f t="shared" si="8"/>
        <v>50</v>
      </c>
      <c r="B60" s="41">
        <f t="shared" si="9"/>
        <v>47392</v>
      </c>
      <c r="C60" s="42">
        <f t="shared" si="10"/>
        <v>103875.324</v>
      </c>
      <c r="D60" s="42">
        <f t="shared" si="1"/>
        <v>1669.15689</v>
      </c>
      <c r="E60" s="42">
        <f t="shared" si="2"/>
        <v>0</v>
      </c>
      <c r="F60" s="42">
        <f t="shared" si="3"/>
        <v>1669.15689</v>
      </c>
      <c r="G60" s="42">
        <f t="shared" si="4"/>
        <v>1279.624425</v>
      </c>
      <c r="H60" s="42">
        <f t="shared" si="5"/>
        <v>389.532465</v>
      </c>
      <c r="I60" s="42">
        <f t="shared" si="6"/>
        <v>102595.6996</v>
      </c>
      <c r="J60" s="43">
        <f t="shared" si="7"/>
        <v>0.6370195105</v>
      </c>
    </row>
    <row r="61">
      <c r="A61" s="40">
        <f t="shared" si="8"/>
        <v>51</v>
      </c>
      <c r="B61" s="41">
        <f t="shared" si="9"/>
        <v>47423</v>
      </c>
      <c r="C61" s="42">
        <f t="shared" si="10"/>
        <v>102595.6996</v>
      </c>
      <c r="D61" s="42">
        <f t="shared" si="1"/>
        <v>1669.15689</v>
      </c>
      <c r="E61" s="42">
        <f t="shared" si="2"/>
        <v>0</v>
      </c>
      <c r="F61" s="42">
        <f t="shared" si="3"/>
        <v>1669.15689</v>
      </c>
      <c r="G61" s="42">
        <f t="shared" si="4"/>
        <v>1284.423016</v>
      </c>
      <c r="H61" s="42">
        <f t="shared" si="5"/>
        <v>384.7338734</v>
      </c>
      <c r="I61" s="42">
        <f t="shared" si="6"/>
        <v>101311.2766</v>
      </c>
      <c r="J61" s="43">
        <f t="shared" si="7"/>
        <v>0.6290444928</v>
      </c>
    </row>
    <row r="62">
      <c r="A62" s="40">
        <f t="shared" si="8"/>
        <v>52</v>
      </c>
      <c r="B62" s="41">
        <f t="shared" si="9"/>
        <v>47453</v>
      </c>
      <c r="C62" s="42">
        <f t="shared" si="10"/>
        <v>101311.2766</v>
      </c>
      <c r="D62" s="42">
        <f t="shared" si="1"/>
        <v>1669.15689</v>
      </c>
      <c r="E62" s="42">
        <f t="shared" si="2"/>
        <v>0</v>
      </c>
      <c r="F62" s="42">
        <f t="shared" si="3"/>
        <v>1669.15689</v>
      </c>
      <c r="G62" s="42">
        <f t="shared" si="4"/>
        <v>1289.239603</v>
      </c>
      <c r="H62" s="42">
        <f t="shared" si="5"/>
        <v>379.9172871</v>
      </c>
      <c r="I62" s="42">
        <f t="shared" si="6"/>
        <v>100022.037</v>
      </c>
      <c r="J62" s="43">
        <f t="shared" si="7"/>
        <v>0.6210395688</v>
      </c>
    </row>
    <row r="63">
      <c r="A63" s="40">
        <f t="shared" si="8"/>
        <v>53</v>
      </c>
      <c r="B63" s="41">
        <f t="shared" si="9"/>
        <v>47484</v>
      </c>
      <c r="C63" s="42">
        <f t="shared" si="10"/>
        <v>100022.037</v>
      </c>
      <c r="D63" s="42">
        <f t="shared" si="1"/>
        <v>1669.15689</v>
      </c>
      <c r="E63" s="42">
        <f t="shared" si="2"/>
        <v>0</v>
      </c>
      <c r="F63" s="42">
        <f t="shared" si="3"/>
        <v>1669.15689</v>
      </c>
      <c r="G63" s="42">
        <f t="shared" si="4"/>
        <v>1294.074251</v>
      </c>
      <c r="H63" s="42">
        <f t="shared" si="5"/>
        <v>375.0826386</v>
      </c>
      <c r="I63" s="42">
        <f t="shared" si="6"/>
        <v>98727.96272</v>
      </c>
      <c r="J63" s="43">
        <f t="shared" si="7"/>
        <v>0.6130046263</v>
      </c>
    </row>
    <row r="64">
      <c r="A64" s="40">
        <f t="shared" si="8"/>
        <v>54</v>
      </c>
      <c r="B64" s="41">
        <f t="shared" si="9"/>
        <v>47515</v>
      </c>
      <c r="C64" s="42">
        <f t="shared" si="10"/>
        <v>98727.96272</v>
      </c>
      <c r="D64" s="42">
        <f t="shared" si="1"/>
        <v>1669.15689</v>
      </c>
      <c r="E64" s="42">
        <f t="shared" si="2"/>
        <v>0</v>
      </c>
      <c r="F64" s="42">
        <f t="shared" si="3"/>
        <v>1669.15689</v>
      </c>
      <c r="G64" s="42">
        <f t="shared" si="4"/>
        <v>1298.92703</v>
      </c>
      <c r="H64" s="42">
        <f t="shared" si="5"/>
        <v>370.2298602</v>
      </c>
      <c r="I64" s="42">
        <f t="shared" si="6"/>
        <v>97429.03569</v>
      </c>
      <c r="J64" s="43">
        <f t="shared" si="7"/>
        <v>0.6049395528</v>
      </c>
    </row>
    <row r="65">
      <c r="A65" s="40">
        <f t="shared" si="8"/>
        <v>55</v>
      </c>
      <c r="B65" s="41">
        <f t="shared" si="9"/>
        <v>47543</v>
      </c>
      <c r="C65" s="42">
        <f t="shared" si="10"/>
        <v>97429.03569</v>
      </c>
      <c r="D65" s="42">
        <f t="shared" si="1"/>
        <v>1669.15689</v>
      </c>
      <c r="E65" s="42">
        <f t="shared" si="2"/>
        <v>0</v>
      </c>
      <c r="F65" s="42">
        <f t="shared" si="3"/>
        <v>1669.15689</v>
      </c>
      <c r="G65" s="42">
        <f t="shared" si="4"/>
        <v>1303.798006</v>
      </c>
      <c r="H65" s="42">
        <f t="shared" si="5"/>
        <v>365.3588838</v>
      </c>
      <c r="I65" s="42">
        <f t="shared" si="6"/>
        <v>96125.23768</v>
      </c>
      <c r="J65" s="43">
        <f t="shared" si="7"/>
        <v>0.5968442352</v>
      </c>
    </row>
    <row r="66">
      <c r="A66" s="40">
        <f t="shared" si="8"/>
        <v>56</v>
      </c>
      <c r="B66" s="41">
        <f t="shared" si="9"/>
        <v>47574</v>
      </c>
      <c r="C66" s="42">
        <f t="shared" si="10"/>
        <v>96125.23768</v>
      </c>
      <c r="D66" s="42">
        <f t="shared" si="1"/>
        <v>1669.15689</v>
      </c>
      <c r="E66" s="42">
        <f t="shared" si="2"/>
        <v>0</v>
      </c>
      <c r="F66" s="42">
        <f t="shared" si="3"/>
        <v>1669.15689</v>
      </c>
      <c r="G66" s="42">
        <f t="shared" si="4"/>
        <v>1308.687249</v>
      </c>
      <c r="H66" s="42">
        <f t="shared" si="5"/>
        <v>360.4696413</v>
      </c>
      <c r="I66" s="42">
        <f t="shared" si="6"/>
        <v>94816.55043</v>
      </c>
      <c r="J66" s="43">
        <f t="shared" si="7"/>
        <v>0.5887185602</v>
      </c>
    </row>
    <row r="67">
      <c r="A67" s="40">
        <f t="shared" si="8"/>
        <v>57</v>
      </c>
      <c r="B67" s="41">
        <f t="shared" si="9"/>
        <v>47604</v>
      </c>
      <c r="C67" s="42">
        <f t="shared" si="10"/>
        <v>94816.55043</v>
      </c>
      <c r="D67" s="42">
        <f t="shared" si="1"/>
        <v>1669.15689</v>
      </c>
      <c r="E67" s="42">
        <f t="shared" si="2"/>
        <v>0</v>
      </c>
      <c r="F67" s="42">
        <f t="shared" si="3"/>
        <v>1669.15689</v>
      </c>
      <c r="G67" s="42">
        <f t="shared" si="4"/>
        <v>1313.594826</v>
      </c>
      <c r="H67" s="42">
        <f t="shared" si="5"/>
        <v>355.5620641</v>
      </c>
      <c r="I67" s="42">
        <f t="shared" si="6"/>
        <v>93502.95561</v>
      </c>
      <c r="J67" s="43">
        <f t="shared" si="7"/>
        <v>0.580562414</v>
      </c>
    </row>
    <row r="68">
      <c r="A68" s="40">
        <f t="shared" si="8"/>
        <v>58</v>
      </c>
      <c r="B68" s="41">
        <f t="shared" si="9"/>
        <v>47635</v>
      </c>
      <c r="C68" s="42">
        <f t="shared" si="10"/>
        <v>93502.95561</v>
      </c>
      <c r="D68" s="42">
        <f t="shared" si="1"/>
        <v>1669.15689</v>
      </c>
      <c r="E68" s="42">
        <f t="shared" si="2"/>
        <v>0</v>
      </c>
      <c r="F68" s="42">
        <f t="shared" si="3"/>
        <v>1669.15689</v>
      </c>
      <c r="G68" s="42">
        <f t="shared" si="4"/>
        <v>1318.520806</v>
      </c>
      <c r="H68" s="42">
        <f t="shared" si="5"/>
        <v>350.6360835</v>
      </c>
      <c r="I68" s="42">
        <f t="shared" si="6"/>
        <v>92184.4348</v>
      </c>
      <c r="J68" s="43">
        <f t="shared" si="7"/>
        <v>0.5723756821</v>
      </c>
    </row>
    <row r="69">
      <c r="A69" s="40">
        <f t="shared" si="8"/>
        <v>59</v>
      </c>
      <c r="B69" s="41">
        <f t="shared" si="9"/>
        <v>47665</v>
      </c>
      <c r="C69" s="42">
        <f t="shared" si="10"/>
        <v>92184.4348</v>
      </c>
      <c r="D69" s="42">
        <f t="shared" si="1"/>
        <v>1669.15689</v>
      </c>
      <c r="E69" s="42">
        <f t="shared" si="2"/>
        <v>0</v>
      </c>
      <c r="F69" s="42">
        <f t="shared" si="3"/>
        <v>1669.15689</v>
      </c>
      <c r="G69" s="42">
        <f t="shared" si="4"/>
        <v>1323.465259</v>
      </c>
      <c r="H69" s="42">
        <f t="shared" si="5"/>
        <v>345.6916305</v>
      </c>
      <c r="I69" s="42">
        <f t="shared" si="6"/>
        <v>90860.96954</v>
      </c>
      <c r="J69" s="43">
        <f t="shared" si="7"/>
        <v>0.5641582501</v>
      </c>
    </row>
    <row r="70">
      <c r="A70" s="40">
        <f t="shared" si="8"/>
        <v>60</v>
      </c>
      <c r="B70" s="41">
        <f t="shared" si="9"/>
        <v>47696</v>
      </c>
      <c r="C70" s="42">
        <f t="shared" si="10"/>
        <v>90860.96954</v>
      </c>
      <c r="D70" s="42">
        <f t="shared" si="1"/>
        <v>1669.15689</v>
      </c>
      <c r="E70" s="42">
        <f t="shared" si="2"/>
        <v>0</v>
      </c>
      <c r="F70" s="42">
        <f t="shared" si="3"/>
        <v>1669.15689</v>
      </c>
      <c r="G70" s="42">
        <f t="shared" si="4"/>
        <v>1328.428254</v>
      </c>
      <c r="H70" s="42">
        <f t="shared" si="5"/>
        <v>340.7286358</v>
      </c>
      <c r="I70" s="42">
        <f t="shared" si="6"/>
        <v>89532.54129</v>
      </c>
      <c r="J70" s="43">
        <f t="shared" si="7"/>
        <v>0.5559100026</v>
      </c>
    </row>
    <row r="71">
      <c r="A71" s="40">
        <f t="shared" si="8"/>
        <v>61</v>
      </c>
      <c r="B71" s="41">
        <f t="shared" si="9"/>
        <v>47727</v>
      </c>
      <c r="C71" s="42">
        <f t="shared" si="10"/>
        <v>89532.54129</v>
      </c>
      <c r="D71" s="42">
        <f t="shared" si="1"/>
        <v>1669.15689</v>
      </c>
      <c r="E71" s="42">
        <f t="shared" si="2"/>
        <v>0</v>
      </c>
      <c r="F71" s="42">
        <f t="shared" si="3"/>
        <v>1669.15689</v>
      </c>
      <c r="G71" s="42">
        <f t="shared" si="4"/>
        <v>1333.40986</v>
      </c>
      <c r="H71" s="42">
        <f t="shared" si="5"/>
        <v>335.7470298</v>
      </c>
      <c r="I71" s="42">
        <f t="shared" si="6"/>
        <v>88199.13143</v>
      </c>
      <c r="J71" s="43">
        <f t="shared" si="7"/>
        <v>0.5476308243</v>
      </c>
    </row>
    <row r="72">
      <c r="A72" s="40">
        <f t="shared" si="8"/>
        <v>62</v>
      </c>
      <c r="B72" s="41">
        <f t="shared" si="9"/>
        <v>47757</v>
      </c>
      <c r="C72" s="42">
        <f t="shared" si="10"/>
        <v>88199.13143</v>
      </c>
      <c r="D72" s="42">
        <f t="shared" si="1"/>
        <v>1669.15689</v>
      </c>
      <c r="E72" s="42">
        <f t="shared" si="2"/>
        <v>0</v>
      </c>
      <c r="F72" s="42">
        <f t="shared" si="3"/>
        <v>1669.15689</v>
      </c>
      <c r="G72" s="42">
        <f t="shared" si="4"/>
        <v>1338.410147</v>
      </c>
      <c r="H72" s="42">
        <f t="shared" si="5"/>
        <v>330.7467428</v>
      </c>
      <c r="I72" s="42">
        <f t="shared" si="6"/>
        <v>86860.72128</v>
      </c>
      <c r="J72" s="43">
        <f t="shared" si="7"/>
        <v>0.539320599</v>
      </c>
    </row>
    <row r="73">
      <c r="A73" s="40">
        <f t="shared" si="8"/>
        <v>63</v>
      </c>
      <c r="B73" s="41">
        <f t="shared" si="9"/>
        <v>47788</v>
      </c>
      <c r="C73" s="42">
        <f t="shared" si="10"/>
        <v>86860.72128</v>
      </c>
      <c r="D73" s="42">
        <f t="shared" si="1"/>
        <v>1669.15689</v>
      </c>
      <c r="E73" s="42">
        <f t="shared" si="2"/>
        <v>0</v>
      </c>
      <c r="F73" s="42">
        <f t="shared" si="3"/>
        <v>1669.15689</v>
      </c>
      <c r="G73" s="42">
        <f t="shared" si="4"/>
        <v>1343.429185</v>
      </c>
      <c r="H73" s="42">
        <f t="shared" si="5"/>
        <v>325.7277048</v>
      </c>
      <c r="I73" s="42">
        <f t="shared" si="6"/>
        <v>85517.29209</v>
      </c>
      <c r="J73" s="43">
        <f t="shared" si="7"/>
        <v>0.5309792104</v>
      </c>
    </row>
    <row r="74">
      <c r="A74" s="40">
        <f t="shared" si="8"/>
        <v>64</v>
      </c>
      <c r="B74" s="41">
        <f t="shared" si="9"/>
        <v>47818</v>
      </c>
      <c r="C74" s="42">
        <f t="shared" si="10"/>
        <v>85517.29209</v>
      </c>
      <c r="D74" s="42">
        <f t="shared" si="1"/>
        <v>1669.15689</v>
      </c>
      <c r="E74" s="42">
        <f t="shared" si="2"/>
        <v>0</v>
      </c>
      <c r="F74" s="42">
        <f t="shared" si="3"/>
        <v>1669.15689</v>
      </c>
      <c r="G74" s="42">
        <f t="shared" si="4"/>
        <v>1348.467045</v>
      </c>
      <c r="H74" s="42">
        <f t="shared" si="5"/>
        <v>320.6898454</v>
      </c>
      <c r="I74" s="42">
        <f t="shared" si="6"/>
        <v>84168.82505</v>
      </c>
      <c r="J74" s="43">
        <f t="shared" si="7"/>
        <v>0.5226065415</v>
      </c>
    </row>
    <row r="75">
      <c r="A75" s="40">
        <f t="shared" si="8"/>
        <v>65</v>
      </c>
      <c r="B75" s="41">
        <f t="shared" si="9"/>
        <v>47849</v>
      </c>
      <c r="C75" s="42">
        <f t="shared" si="10"/>
        <v>84168.82505</v>
      </c>
      <c r="D75" s="42">
        <f t="shared" si="1"/>
        <v>1669.15689</v>
      </c>
      <c r="E75" s="42">
        <f t="shared" si="2"/>
        <v>0</v>
      </c>
      <c r="F75" s="42">
        <f t="shared" si="3"/>
        <v>1669.15689</v>
      </c>
      <c r="G75" s="42">
        <f t="shared" si="4"/>
        <v>1353.523796</v>
      </c>
      <c r="H75" s="42">
        <f t="shared" si="5"/>
        <v>315.6330939</v>
      </c>
      <c r="I75" s="42">
        <f t="shared" si="6"/>
        <v>82815.30125</v>
      </c>
      <c r="J75" s="43">
        <f t="shared" si="7"/>
        <v>0.5142024752</v>
      </c>
    </row>
    <row r="76">
      <c r="A76" s="40">
        <f t="shared" si="8"/>
        <v>66</v>
      </c>
      <c r="B76" s="41">
        <f t="shared" si="9"/>
        <v>47880</v>
      </c>
      <c r="C76" s="42">
        <f t="shared" si="10"/>
        <v>82815.30125</v>
      </c>
      <c r="D76" s="42">
        <f t="shared" si="1"/>
        <v>1669.15689</v>
      </c>
      <c r="E76" s="42">
        <f t="shared" si="2"/>
        <v>0</v>
      </c>
      <c r="F76" s="42">
        <f t="shared" si="3"/>
        <v>1669.15689</v>
      </c>
      <c r="G76" s="42">
        <f t="shared" si="4"/>
        <v>1358.59951</v>
      </c>
      <c r="H76" s="42">
        <f t="shared" si="5"/>
        <v>310.5573797</v>
      </c>
      <c r="I76" s="42">
        <f t="shared" si="6"/>
        <v>81456.70174</v>
      </c>
      <c r="J76" s="43">
        <f t="shared" si="7"/>
        <v>0.5057668936</v>
      </c>
    </row>
    <row r="77">
      <c r="A77" s="40">
        <f t="shared" si="8"/>
        <v>67</v>
      </c>
      <c r="B77" s="41">
        <f t="shared" si="9"/>
        <v>47908</v>
      </c>
      <c r="C77" s="42">
        <f t="shared" si="10"/>
        <v>81456.70174</v>
      </c>
      <c r="D77" s="42">
        <f t="shared" si="1"/>
        <v>1669.15689</v>
      </c>
      <c r="E77" s="42">
        <f t="shared" si="2"/>
        <v>0</v>
      </c>
      <c r="F77" s="42">
        <f t="shared" si="3"/>
        <v>1669.15689</v>
      </c>
      <c r="G77" s="42">
        <f t="shared" si="4"/>
        <v>1363.694258</v>
      </c>
      <c r="H77" s="42">
        <f t="shared" si="5"/>
        <v>305.4626315</v>
      </c>
      <c r="I77" s="42">
        <f t="shared" si="6"/>
        <v>80093.00748</v>
      </c>
      <c r="J77" s="43">
        <f t="shared" si="7"/>
        <v>0.4972996786</v>
      </c>
    </row>
    <row r="78">
      <c r="A78" s="40">
        <f t="shared" si="8"/>
        <v>68</v>
      </c>
      <c r="B78" s="41">
        <f t="shared" si="9"/>
        <v>47939</v>
      </c>
      <c r="C78" s="42">
        <f t="shared" si="10"/>
        <v>80093.00748</v>
      </c>
      <c r="D78" s="42">
        <f t="shared" si="1"/>
        <v>1669.15689</v>
      </c>
      <c r="E78" s="42">
        <f t="shared" si="2"/>
        <v>0</v>
      </c>
      <c r="F78" s="42">
        <f t="shared" si="3"/>
        <v>1669.15689</v>
      </c>
      <c r="G78" s="42">
        <f t="shared" si="4"/>
        <v>1368.808112</v>
      </c>
      <c r="H78" s="42">
        <f t="shared" si="5"/>
        <v>300.3487781</v>
      </c>
      <c r="I78" s="42">
        <f t="shared" si="6"/>
        <v>78724.19937</v>
      </c>
      <c r="J78" s="43">
        <f t="shared" si="7"/>
        <v>0.4888007115</v>
      </c>
    </row>
    <row r="79">
      <c r="A79" s="40">
        <f t="shared" si="8"/>
        <v>69</v>
      </c>
      <c r="B79" s="41">
        <f t="shared" si="9"/>
        <v>47969</v>
      </c>
      <c r="C79" s="42">
        <f t="shared" si="10"/>
        <v>78724.19937</v>
      </c>
      <c r="D79" s="42">
        <f t="shared" si="1"/>
        <v>1669.15689</v>
      </c>
      <c r="E79" s="42">
        <f t="shared" si="2"/>
        <v>0</v>
      </c>
      <c r="F79" s="42">
        <f t="shared" si="3"/>
        <v>1669.15689</v>
      </c>
      <c r="G79" s="42">
        <f t="shared" si="4"/>
        <v>1373.941142</v>
      </c>
      <c r="H79" s="42">
        <f t="shared" si="5"/>
        <v>295.2157476</v>
      </c>
      <c r="I79" s="42">
        <f t="shared" si="6"/>
        <v>77350.25823</v>
      </c>
      <c r="J79" s="43">
        <f t="shared" si="7"/>
        <v>0.4802698733</v>
      </c>
    </row>
    <row r="80">
      <c r="A80" s="40">
        <f t="shared" si="8"/>
        <v>70</v>
      </c>
      <c r="B80" s="41">
        <f t="shared" si="9"/>
        <v>48000</v>
      </c>
      <c r="C80" s="42">
        <f t="shared" si="10"/>
        <v>77350.25823</v>
      </c>
      <c r="D80" s="42">
        <f t="shared" si="1"/>
        <v>1669.15689</v>
      </c>
      <c r="E80" s="42">
        <f t="shared" si="2"/>
        <v>0</v>
      </c>
      <c r="F80" s="42">
        <f t="shared" si="3"/>
        <v>1669.15689</v>
      </c>
      <c r="G80" s="42">
        <f t="shared" si="4"/>
        <v>1379.093422</v>
      </c>
      <c r="H80" s="42">
        <f t="shared" si="5"/>
        <v>290.0634684</v>
      </c>
      <c r="I80" s="42">
        <f t="shared" si="6"/>
        <v>75971.16481</v>
      </c>
      <c r="J80" s="43">
        <f t="shared" si="7"/>
        <v>0.4717070444</v>
      </c>
    </row>
    <row r="81">
      <c r="A81" s="40">
        <f t="shared" si="8"/>
        <v>71</v>
      </c>
      <c r="B81" s="41">
        <f t="shared" si="9"/>
        <v>48030</v>
      </c>
      <c r="C81" s="42">
        <f t="shared" si="10"/>
        <v>75971.16481</v>
      </c>
      <c r="D81" s="42">
        <f t="shared" si="1"/>
        <v>1669.15689</v>
      </c>
      <c r="E81" s="42">
        <f t="shared" si="2"/>
        <v>0</v>
      </c>
      <c r="F81" s="42">
        <f t="shared" si="3"/>
        <v>1669.15689</v>
      </c>
      <c r="G81" s="42">
        <f t="shared" si="4"/>
        <v>1384.265022</v>
      </c>
      <c r="H81" s="42">
        <f t="shared" si="5"/>
        <v>284.891868</v>
      </c>
      <c r="I81" s="42">
        <f t="shared" si="6"/>
        <v>74586.89979</v>
      </c>
      <c r="J81" s="43">
        <f t="shared" si="7"/>
        <v>0.463112105</v>
      </c>
    </row>
    <row r="82">
      <c r="A82" s="40">
        <f t="shared" si="8"/>
        <v>72</v>
      </c>
      <c r="B82" s="41">
        <f t="shared" si="9"/>
        <v>48061</v>
      </c>
      <c r="C82" s="42">
        <f t="shared" si="10"/>
        <v>74586.89979</v>
      </c>
      <c r="D82" s="42">
        <f t="shared" si="1"/>
        <v>1669.15689</v>
      </c>
      <c r="E82" s="42">
        <f t="shared" si="2"/>
        <v>0</v>
      </c>
      <c r="F82" s="42">
        <f t="shared" si="3"/>
        <v>1669.15689</v>
      </c>
      <c r="G82" s="42">
        <f t="shared" si="4"/>
        <v>1389.456016</v>
      </c>
      <c r="H82" s="42">
        <f t="shared" si="5"/>
        <v>279.7008742</v>
      </c>
      <c r="I82" s="42">
        <f t="shared" si="6"/>
        <v>73197.44377</v>
      </c>
      <c r="J82" s="43">
        <f t="shared" si="7"/>
        <v>0.4544849345</v>
      </c>
    </row>
    <row r="83">
      <c r="A83" s="40">
        <f t="shared" si="8"/>
        <v>73</v>
      </c>
      <c r="B83" s="41">
        <f t="shared" si="9"/>
        <v>48092</v>
      </c>
      <c r="C83" s="42">
        <f t="shared" si="10"/>
        <v>73197.44377</v>
      </c>
      <c r="D83" s="42">
        <f t="shared" si="1"/>
        <v>1669.15689</v>
      </c>
      <c r="E83" s="42">
        <f t="shared" si="2"/>
        <v>0</v>
      </c>
      <c r="F83" s="42">
        <f t="shared" si="3"/>
        <v>1669.15689</v>
      </c>
      <c r="G83" s="42">
        <f t="shared" si="4"/>
        <v>1394.666476</v>
      </c>
      <c r="H83" s="42">
        <f t="shared" si="5"/>
        <v>274.4904141</v>
      </c>
      <c r="I83" s="42">
        <f t="shared" si="6"/>
        <v>71802.7773</v>
      </c>
      <c r="J83" s="43">
        <f t="shared" si="7"/>
        <v>0.4458254121</v>
      </c>
    </row>
    <row r="84">
      <c r="A84" s="40">
        <f t="shared" si="8"/>
        <v>74</v>
      </c>
      <c r="B84" s="41">
        <f t="shared" si="9"/>
        <v>48122</v>
      </c>
      <c r="C84" s="42">
        <f t="shared" si="10"/>
        <v>71802.7773</v>
      </c>
      <c r="D84" s="42">
        <f t="shared" si="1"/>
        <v>1669.15689</v>
      </c>
      <c r="E84" s="42">
        <f t="shared" si="2"/>
        <v>0</v>
      </c>
      <c r="F84" s="42">
        <f t="shared" si="3"/>
        <v>1669.15689</v>
      </c>
      <c r="G84" s="42">
        <f t="shared" si="4"/>
        <v>1399.896475</v>
      </c>
      <c r="H84" s="42">
        <f t="shared" si="5"/>
        <v>269.2604149</v>
      </c>
      <c r="I84" s="42">
        <f t="shared" si="6"/>
        <v>70402.88082</v>
      </c>
      <c r="J84" s="43">
        <f t="shared" si="7"/>
        <v>0.4371334165</v>
      </c>
    </row>
    <row r="85">
      <c r="A85" s="40">
        <f t="shared" si="8"/>
        <v>75</v>
      </c>
      <c r="B85" s="41">
        <f t="shared" si="9"/>
        <v>48153</v>
      </c>
      <c r="C85" s="42">
        <f t="shared" si="10"/>
        <v>70402.88082</v>
      </c>
      <c r="D85" s="42">
        <f t="shared" si="1"/>
        <v>1669.15689</v>
      </c>
      <c r="E85" s="42">
        <f t="shared" si="2"/>
        <v>0</v>
      </c>
      <c r="F85" s="42">
        <f t="shared" si="3"/>
        <v>1669.15689</v>
      </c>
      <c r="G85" s="42">
        <f t="shared" si="4"/>
        <v>1405.146087</v>
      </c>
      <c r="H85" s="42">
        <f t="shared" si="5"/>
        <v>264.0108031</v>
      </c>
      <c r="I85" s="42">
        <f t="shared" si="6"/>
        <v>68997.73473</v>
      </c>
      <c r="J85" s="43">
        <f t="shared" si="7"/>
        <v>0.428408826</v>
      </c>
    </row>
    <row r="86">
      <c r="A86" s="40">
        <f t="shared" si="8"/>
        <v>76</v>
      </c>
      <c r="B86" s="41">
        <f t="shared" si="9"/>
        <v>48183</v>
      </c>
      <c r="C86" s="42">
        <f t="shared" si="10"/>
        <v>68997.73473</v>
      </c>
      <c r="D86" s="42">
        <f t="shared" si="1"/>
        <v>1669.15689</v>
      </c>
      <c r="E86" s="42">
        <f t="shared" si="2"/>
        <v>0</v>
      </c>
      <c r="F86" s="42">
        <f t="shared" si="3"/>
        <v>1669.15689</v>
      </c>
      <c r="G86" s="42">
        <f t="shared" si="4"/>
        <v>1410.415385</v>
      </c>
      <c r="H86" s="42">
        <f t="shared" si="5"/>
        <v>258.7415052</v>
      </c>
      <c r="I86" s="42">
        <f t="shared" si="6"/>
        <v>67587.31935</v>
      </c>
      <c r="J86" s="43">
        <f t="shared" si="7"/>
        <v>0.4196515182</v>
      </c>
    </row>
    <row r="87">
      <c r="A87" s="40">
        <f t="shared" si="8"/>
        <v>77</v>
      </c>
      <c r="B87" s="41">
        <f t="shared" si="9"/>
        <v>48214</v>
      </c>
      <c r="C87" s="42">
        <f t="shared" si="10"/>
        <v>67587.31935</v>
      </c>
      <c r="D87" s="42">
        <f t="shared" si="1"/>
        <v>1669.15689</v>
      </c>
      <c r="E87" s="42">
        <f t="shared" si="2"/>
        <v>0</v>
      </c>
      <c r="F87" s="42">
        <f t="shared" si="3"/>
        <v>1669.15689</v>
      </c>
      <c r="G87" s="42">
        <f t="shared" si="4"/>
        <v>1415.704442</v>
      </c>
      <c r="H87" s="42">
        <f t="shared" si="5"/>
        <v>253.4524476</v>
      </c>
      <c r="I87" s="42">
        <f t="shared" si="6"/>
        <v>66171.61491</v>
      </c>
      <c r="J87" s="43">
        <f t="shared" si="7"/>
        <v>0.4108613705</v>
      </c>
    </row>
    <row r="88">
      <c r="A88" s="40">
        <f t="shared" si="8"/>
        <v>78</v>
      </c>
      <c r="B88" s="41">
        <f t="shared" si="9"/>
        <v>48245</v>
      </c>
      <c r="C88" s="42">
        <f t="shared" si="10"/>
        <v>66171.61491</v>
      </c>
      <c r="D88" s="42">
        <f t="shared" si="1"/>
        <v>1669.15689</v>
      </c>
      <c r="E88" s="42">
        <f t="shared" si="2"/>
        <v>0</v>
      </c>
      <c r="F88" s="42">
        <f t="shared" si="3"/>
        <v>1669.15689</v>
      </c>
      <c r="G88" s="42">
        <f t="shared" si="4"/>
        <v>1421.013334</v>
      </c>
      <c r="H88" s="42">
        <f t="shared" si="5"/>
        <v>248.1435559</v>
      </c>
      <c r="I88" s="42">
        <f t="shared" si="6"/>
        <v>64750.60157</v>
      </c>
      <c r="J88" s="43">
        <f t="shared" si="7"/>
        <v>0.4020382598</v>
      </c>
    </row>
    <row r="89">
      <c r="A89" s="40">
        <f t="shared" si="8"/>
        <v>79</v>
      </c>
      <c r="B89" s="41">
        <f t="shared" si="9"/>
        <v>48274</v>
      </c>
      <c r="C89" s="42">
        <f t="shared" si="10"/>
        <v>64750.60157</v>
      </c>
      <c r="D89" s="42">
        <f t="shared" si="1"/>
        <v>1669.15689</v>
      </c>
      <c r="E89" s="42">
        <f t="shared" si="2"/>
        <v>0</v>
      </c>
      <c r="F89" s="42">
        <f t="shared" si="3"/>
        <v>1669.15689</v>
      </c>
      <c r="G89" s="42">
        <f t="shared" si="4"/>
        <v>1426.342134</v>
      </c>
      <c r="H89" s="42">
        <f t="shared" si="5"/>
        <v>242.8147559</v>
      </c>
      <c r="I89" s="42">
        <f t="shared" si="6"/>
        <v>63324.25944</v>
      </c>
      <c r="J89" s="43">
        <f t="shared" si="7"/>
        <v>0.3931820624</v>
      </c>
    </row>
    <row r="90">
      <c r="A90" s="40">
        <f t="shared" si="8"/>
        <v>80</v>
      </c>
      <c r="B90" s="41">
        <f t="shared" si="9"/>
        <v>48305</v>
      </c>
      <c r="C90" s="42">
        <f t="shared" si="10"/>
        <v>63324.25944</v>
      </c>
      <c r="D90" s="42">
        <f t="shared" si="1"/>
        <v>1669.15689</v>
      </c>
      <c r="E90" s="42">
        <f t="shared" si="2"/>
        <v>0</v>
      </c>
      <c r="F90" s="42">
        <f t="shared" si="3"/>
        <v>1669.15689</v>
      </c>
      <c r="G90" s="42">
        <f t="shared" si="4"/>
        <v>1431.690917</v>
      </c>
      <c r="H90" s="42">
        <f t="shared" si="5"/>
        <v>237.4659729</v>
      </c>
      <c r="I90" s="42">
        <f t="shared" si="6"/>
        <v>61892.56852</v>
      </c>
      <c r="J90" s="43">
        <f t="shared" si="7"/>
        <v>0.3842926542</v>
      </c>
    </row>
    <row r="91">
      <c r="A91" s="40">
        <f t="shared" si="8"/>
        <v>81</v>
      </c>
      <c r="B91" s="41">
        <f t="shared" si="9"/>
        <v>48335</v>
      </c>
      <c r="C91" s="42">
        <f t="shared" si="10"/>
        <v>61892.56852</v>
      </c>
      <c r="D91" s="42">
        <f t="shared" si="1"/>
        <v>1669.15689</v>
      </c>
      <c r="E91" s="42">
        <f t="shared" si="2"/>
        <v>0</v>
      </c>
      <c r="F91" s="42">
        <f t="shared" si="3"/>
        <v>1669.15689</v>
      </c>
      <c r="G91" s="42">
        <f t="shared" si="4"/>
        <v>1437.059758</v>
      </c>
      <c r="H91" s="42">
        <f t="shared" si="5"/>
        <v>232.097132</v>
      </c>
      <c r="I91" s="42">
        <f t="shared" si="6"/>
        <v>60455.50876</v>
      </c>
      <c r="J91" s="43">
        <f t="shared" si="7"/>
        <v>0.3753699108</v>
      </c>
    </row>
    <row r="92">
      <c r="A92" s="40">
        <f t="shared" si="8"/>
        <v>82</v>
      </c>
      <c r="B92" s="41">
        <f t="shared" si="9"/>
        <v>48366</v>
      </c>
      <c r="C92" s="42">
        <f t="shared" si="10"/>
        <v>60455.50876</v>
      </c>
      <c r="D92" s="42">
        <f t="shared" si="1"/>
        <v>1669.15689</v>
      </c>
      <c r="E92" s="42">
        <f t="shared" si="2"/>
        <v>0</v>
      </c>
      <c r="F92" s="42">
        <f t="shared" si="3"/>
        <v>1669.15689</v>
      </c>
      <c r="G92" s="42">
        <f t="shared" si="4"/>
        <v>1442.448732</v>
      </c>
      <c r="H92" s="42">
        <f t="shared" si="5"/>
        <v>226.7081579</v>
      </c>
      <c r="I92" s="42">
        <f t="shared" si="6"/>
        <v>59013.06003</v>
      </c>
      <c r="J92" s="43">
        <f t="shared" si="7"/>
        <v>0.3664137071</v>
      </c>
    </row>
    <row r="93">
      <c r="A93" s="40">
        <f t="shared" si="8"/>
        <v>83</v>
      </c>
      <c r="B93" s="41">
        <f t="shared" si="9"/>
        <v>48396</v>
      </c>
      <c r="C93" s="42">
        <f t="shared" si="10"/>
        <v>59013.06003</v>
      </c>
      <c r="D93" s="42">
        <f t="shared" si="1"/>
        <v>1669.15689</v>
      </c>
      <c r="E93" s="42">
        <f t="shared" si="2"/>
        <v>0</v>
      </c>
      <c r="F93" s="42">
        <f t="shared" si="3"/>
        <v>1669.15689</v>
      </c>
      <c r="G93" s="42">
        <f t="shared" si="4"/>
        <v>1447.857915</v>
      </c>
      <c r="H93" s="42">
        <f t="shared" si="5"/>
        <v>221.2989751</v>
      </c>
      <c r="I93" s="42">
        <f t="shared" si="6"/>
        <v>57565.20212</v>
      </c>
      <c r="J93" s="43">
        <f t="shared" si="7"/>
        <v>0.3574239176</v>
      </c>
    </row>
    <row r="94">
      <c r="A94" s="40">
        <f t="shared" si="8"/>
        <v>84</v>
      </c>
      <c r="B94" s="41">
        <f t="shared" si="9"/>
        <v>48427</v>
      </c>
      <c r="C94" s="42">
        <f t="shared" si="10"/>
        <v>57565.20212</v>
      </c>
      <c r="D94" s="42">
        <f t="shared" si="1"/>
        <v>1669.15689</v>
      </c>
      <c r="E94" s="42">
        <f t="shared" si="2"/>
        <v>0</v>
      </c>
      <c r="F94" s="42">
        <f t="shared" si="3"/>
        <v>1669.15689</v>
      </c>
      <c r="G94" s="42">
        <f t="shared" si="4"/>
        <v>1453.287382</v>
      </c>
      <c r="H94" s="42">
        <f t="shared" si="5"/>
        <v>215.8695079</v>
      </c>
      <c r="I94" s="42">
        <f t="shared" si="6"/>
        <v>56111.91473</v>
      </c>
      <c r="J94" s="43">
        <f t="shared" si="7"/>
        <v>0.3484004164</v>
      </c>
    </row>
    <row r="95">
      <c r="A95" s="40">
        <f t="shared" si="8"/>
        <v>85</v>
      </c>
      <c r="B95" s="41">
        <f t="shared" si="9"/>
        <v>48458</v>
      </c>
      <c r="C95" s="42">
        <f t="shared" si="10"/>
        <v>56111.91473</v>
      </c>
      <c r="D95" s="42">
        <f t="shared" si="1"/>
        <v>1669.15689</v>
      </c>
      <c r="E95" s="42">
        <f t="shared" si="2"/>
        <v>0</v>
      </c>
      <c r="F95" s="42">
        <f t="shared" si="3"/>
        <v>1669.15689</v>
      </c>
      <c r="G95" s="42">
        <f t="shared" si="4"/>
        <v>1458.73721</v>
      </c>
      <c r="H95" s="42">
        <f t="shared" si="5"/>
        <v>210.4196803</v>
      </c>
      <c r="I95" s="42">
        <f t="shared" si="6"/>
        <v>54653.17752</v>
      </c>
      <c r="J95" s="43">
        <f t="shared" si="7"/>
        <v>0.3393430771</v>
      </c>
    </row>
    <row r="96">
      <c r="A96" s="40">
        <f t="shared" si="8"/>
        <v>86</v>
      </c>
      <c r="B96" s="41">
        <f t="shared" si="9"/>
        <v>48488</v>
      </c>
      <c r="C96" s="42">
        <f t="shared" si="10"/>
        <v>54653.17752</v>
      </c>
      <c r="D96" s="42">
        <f t="shared" si="1"/>
        <v>1669.15689</v>
      </c>
      <c r="E96" s="42">
        <f t="shared" si="2"/>
        <v>0</v>
      </c>
      <c r="F96" s="42">
        <f t="shared" si="3"/>
        <v>1669.15689</v>
      </c>
      <c r="G96" s="42">
        <f t="shared" si="4"/>
        <v>1464.207474</v>
      </c>
      <c r="H96" s="42">
        <f t="shared" si="5"/>
        <v>204.9494157</v>
      </c>
      <c r="I96" s="42">
        <f t="shared" si="6"/>
        <v>53188.97005</v>
      </c>
      <c r="J96" s="43">
        <f t="shared" si="7"/>
        <v>0.3302517728</v>
      </c>
    </row>
    <row r="97">
      <c r="A97" s="40">
        <f t="shared" si="8"/>
        <v>87</v>
      </c>
      <c r="B97" s="41">
        <f t="shared" si="9"/>
        <v>48519</v>
      </c>
      <c r="C97" s="42">
        <f t="shared" si="10"/>
        <v>53188.97005</v>
      </c>
      <c r="D97" s="42">
        <f t="shared" si="1"/>
        <v>1669.15689</v>
      </c>
      <c r="E97" s="42">
        <f t="shared" si="2"/>
        <v>0</v>
      </c>
      <c r="F97" s="42">
        <f t="shared" si="3"/>
        <v>1669.15689</v>
      </c>
      <c r="G97" s="42">
        <f t="shared" si="4"/>
        <v>1469.698252</v>
      </c>
      <c r="H97" s="42">
        <f t="shared" si="5"/>
        <v>199.4586377</v>
      </c>
      <c r="I97" s="42">
        <f t="shared" si="6"/>
        <v>51719.2718</v>
      </c>
      <c r="J97" s="43">
        <f t="shared" si="7"/>
        <v>0.321126376</v>
      </c>
    </row>
    <row r="98">
      <c r="A98" s="40">
        <f t="shared" si="8"/>
        <v>88</v>
      </c>
      <c r="B98" s="41">
        <f t="shared" si="9"/>
        <v>48549</v>
      </c>
      <c r="C98" s="42">
        <f t="shared" si="10"/>
        <v>51719.2718</v>
      </c>
      <c r="D98" s="42">
        <f t="shared" si="1"/>
        <v>1669.15689</v>
      </c>
      <c r="E98" s="42">
        <f t="shared" si="2"/>
        <v>0</v>
      </c>
      <c r="F98" s="42">
        <f t="shared" si="3"/>
        <v>1669.15689</v>
      </c>
      <c r="G98" s="42">
        <f t="shared" si="4"/>
        <v>1475.209621</v>
      </c>
      <c r="H98" s="42">
        <f t="shared" si="5"/>
        <v>193.9472692</v>
      </c>
      <c r="I98" s="42">
        <f t="shared" si="6"/>
        <v>50244.06218</v>
      </c>
      <c r="J98" s="43">
        <f t="shared" si="7"/>
        <v>0.3119667591</v>
      </c>
    </row>
    <row r="99">
      <c r="A99" s="40">
        <f t="shared" si="8"/>
        <v>89</v>
      </c>
      <c r="B99" s="41">
        <f t="shared" si="9"/>
        <v>48580</v>
      </c>
      <c r="C99" s="42">
        <f t="shared" si="10"/>
        <v>50244.06218</v>
      </c>
      <c r="D99" s="42">
        <f t="shared" si="1"/>
        <v>1669.15689</v>
      </c>
      <c r="E99" s="42">
        <f t="shared" si="2"/>
        <v>0</v>
      </c>
      <c r="F99" s="42">
        <f t="shared" si="3"/>
        <v>1669.15689</v>
      </c>
      <c r="G99" s="42">
        <f t="shared" si="4"/>
        <v>1480.741657</v>
      </c>
      <c r="H99" s="42">
        <f t="shared" si="5"/>
        <v>188.4152332</v>
      </c>
      <c r="I99" s="42">
        <f t="shared" si="6"/>
        <v>48763.32052</v>
      </c>
      <c r="J99" s="43">
        <f t="shared" si="7"/>
        <v>0.3027727936</v>
      </c>
    </row>
    <row r="100">
      <c r="A100" s="40">
        <f t="shared" si="8"/>
        <v>90</v>
      </c>
      <c r="B100" s="41">
        <f t="shared" si="9"/>
        <v>48611</v>
      </c>
      <c r="C100" s="42">
        <f t="shared" si="10"/>
        <v>48763.32052</v>
      </c>
      <c r="D100" s="42">
        <f t="shared" si="1"/>
        <v>1669.15689</v>
      </c>
      <c r="E100" s="42">
        <f t="shared" si="2"/>
        <v>0</v>
      </c>
      <c r="F100" s="42">
        <f t="shared" si="3"/>
        <v>1669.15689</v>
      </c>
      <c r="G100" s="42">
        <f t="shared" si="4"/>
        <v>1486.294438</v>
      </c>
      <c r="H100" s="42">
        <f t="shared" si="5"/>
        <v>182.862452</v>
      </c>
      <c r="I100" s="42">
        <f t="shared" si="6"/>
        <v>47277.02608</v>
      </c>
      <c r="J100" s="43">
        <f t="shared" si="7"/>
        <v>0.2935443507</v>
      </c>
    </row>
    <row r="101">
      <c r="A101" s="40">
        <f t="shared" si="8"/>
        <v>91</v>
      </c>
      <c r="B101" s="41">
        <f t="shared" si="9"/>
        <v>48639</v>
      </c>
      <c r="C101" s="42">
        <f t="shared" si="10"/>
        <v>47277.02608</v>
      </c>
      <c r="D101" s="42">
        <f t="shared" si="1"/>
        <v>1669.15689</v>
      </c>
      <c r="E101" s="42">
        <f t="shared" si="2"/>
        <v>0</v>
      </c>
      <c r="F101" s="42">
        <f t="shared" si="3"/>
        <v>1669.15689</v>
      </c>
      <c r="G101" s="42">
        <f t="shared" si="4"/>
        <v>1491.868042</v>
      </c>
      <c r="H101" s="42">
        <f t="shared" si="5"/>
        <v>177.2888478</v>
      </c>
      <c r="I101" s="42">
        <f t="shared" si="6"/>
        <v>45785.15804</v>
      </c>
      <c r="J101" s="43">
        <f t="shared" si="7"/>
        <v>0.2842813011</v>
      </c>
    </row>
    <row r="102">
      <c r="A102" s="40">
        <f t="shared" si="8"/>
        <v>92</v>
      </c>
      <c r="B102" s="41">
        <f t="shared" si="9"/>
        <v>48670</v>
      </c>
      <c r="C102" s="42">
        <f t="shared" si="10"/>
        <v>45785.15804</v>
      </c>
      <c r="D102" s="42">
        <f t="shared" si="1"/>
        <v>1669.15689</v>
      </c>
      <c r="E102" s="42">
        <f t="shared" si="2"/>
        <v>0</v>
      </c>
      <c r="F102" s="42">
        <f t="shared" si="3"/>
        <v>1669.15689</v>
      </c>
      <c r="G102" s="42">
        <f t="shared" si="4"/>
        <v>1497.462547</v>
      </c>
      <c r="H102" s="42">
        <f t="shared" si="5"/>
        <v>171.6943427</v>
      </c>
      <c r="I102" s="42">
        <f t="shared" si="6"/>
        <v>44287.69549</v>
      </c>
      <c r="J102" s="43">
        <f t="shared" si="7"/>
        <v>0.2749835151</v>
      </c>
    </row>
    <row r="103">
      <c r="A103" s="40">
        <f t="shared" si="8"/>
        <v>93</v>
      </c>
      <c r="B103" s="41">
        <f t="shared" si="9"/>
        <v>48700</v>
      </c>
      <c r="C103" s="42">
        <f t="shared" si="10"/>
        <v>44287.69549</v>
      </c>
      <c r="D103" s="42">
        <f t="shared" si="1"/>
        <v>1669.15689</v>
      </c>
      <c r="E103" s="42">
        <f t="shared" si="2"/>
        <v>0</v>
      </c>
      <c r="F103" s="42">
        <f t="shared" si="3"/>
        <v>1669.15689</v>
      </c>
      <c r="G103" s="42">
        <f t="shared" si="4"/>
        <v>1503.078032</v>
      </c>
      <c r="H103" s="42">
        <f t="shared" si="5"/>
        <v>166.0788581</v>
      </c>
      <c r="I103" s="42">
        <f t="shared" si="6"/>
        <v>42784.61746</v>
      </c>
      <c r="J103" s="43">
        <f t="shared" si="7"/>
        <v>0.2656508624</v>
      </c>
    </row>
    <row r="104">
      <c r="A104" s="40">
        <f t="shared" si="8"/>
        <v>94</v>
      </c>
      <c r="B104" s="41">
        <f t="shared" si="9"/>
        <v>48731</v>
      </c>
      <c r="C104" s="42">
        <f t="shared" si="10"/>
        <v>42784.61746</v>
      </c>
      <c r="D104" s="42">
        <f t="shared" si="1"/>
        <v>1669.15689</v>
      </c>
      <c r="E104" s="42">
        <f t="shared" si="2"/>
        <v>0</v>
      </c>
      <c r="F104" s="42">
        <f t="shared" si="3"/>
        <v>1669.15689</v>
      </c>
      <c r="G104" s="42">
        <f t="shared" si="4"/>
        <v>1508.714574</v>
      </c>
      <c r="H104" s="42">
        <f t="shared" si="5"/>
        <v>160.4423155</v>
      </c>
      <c r="I104" s="42">
        <f t="shared" si="6"/>
        <v>41275.90289</v>
      </c>
      <c r="J104" s="43">
        <f t="shared" si="7"/>
        <v>0.2562832123</v>
      </c>
    </row>
    <row r="105">
      <c r="A105" s="40">
        <f t="shared" si="8"/>
        <v>95</v>
      </c>
      <c r="B105" s="41">
        <f t="shared" si="9"/>
        <v>48761</v>
      </c>
      <c r="C105" s="42">
        <f t="shared" si="10"/>
        <v>41275.90289</v>
      </c>
      <c r="D105" s="42">
        <f t="shared" si="1"/>
        <v>1669.15689</v>
      </c>
      <c r="E105" s="42">
        <f t="shared" si="2"/>
        <v>0</v>
      </c>
      <c r="F105" s="42">
        <f t="shared" si="3"/>
        <v>1669.15689</v>
      </c>
      <c r="G105" s="42">
        <f t="shared" si="4"/>
        <v>1514.372254</v>
      </c>
      <c r="H105" s="42">
        <f t="shared" si="5"/>
        <v>154.7846358</v>
      </c>
      <c r="I105" s="42">
        <f t="shared" si="6"/>
        <v>39761.53063</v>
      </c>
      <c r="J105" s="43">
        <f t="shared" si="7"/>
        <v>0.2468804334</v>
      </c>
    </row>
    <row r="106">
      <c r="A106" s="40">
        <f t="shared" si="8"/>
        <v>96</v>
      </c>
      <c r="B106" s="41">
        <f t="shared" si="9"/>
        <v>48792</v>
      </c>
      <c r="C106" s="42">
        <f t="shared" si="10"/>
        <v>39761.53063</v>
      </c>
      <c r="D106" s="42">
        <f t="shared" si="1"/>
        <v>1669.15689</v>
      </c>
      <c r="E106" s="42">
        <f t="shared" si="2"/>
        <v>0</v>
      </c>
      <c r="F106" s="42">
        <f t="shared" si="3"/>
        <v>1669.15689</v>
      </c>
      <c r="G106" s="42">
        <f t="shared" si="4"/>
        <v>1520.05115</v>
      </c>
      <c r="H106" s="42">
        <f t="shared" si="5"/>
        <v>149.1057399</v>
      </c>
      <c r="I106" s="42">
        <f t="shared" si="6"/>
        <v>38241.47948</v>
      </c>
      <c r="J106" s="43">
        <f t="shared" si="7"/>
        <v>0.2374423942</v>
      </c>
    </row>
    <row r="107">
      <c r="A107" s="40">
        <f t="shared" si="8"/>
        <v>97</v>
      </c>
      <c r="B107" s="41">
        <f t="shared" si="9"/>
        <v>48823</v>
      </c>
      <c r="C107" s="42">
        <f t="shared" si="10"/>
        <v>38241.47948</v>
      </c>
      <c r="D107" s="42">
        <f t="shared" si="1"/>
        <v>1669.15689</v>
      </c>
      <c r="E107" s="42">
        <f t="shared" si="2"/>
        <v>0</v>
      </c>
      <c r="F107" s="42">
        <f t="shared" si="3"/>
        <v>1669.15689</v>
      </c>
      <c r="G107" s="42">
        <f t="shared" si="4"/>
        <v>1525.751342</v>
      </c>
      <c r="H107" s="42">
        <f t="shared" si="5"/>
        <v>143.4055481</v>
      </c>
      <c r="I107" s="42">
        <f t="shared" si="6"/>
        <v>36715.72814</v>
      </c>
      <c r="J107" s="43">
        <f t="shared" si="7"/>
        <v>0.2279689623</v>
      </c>
    </row>
    <row r="108">
      <c r="A108" s="40">
        <f t="shared" si="8"/>
        <v>98</v>
      </c>
      <c r="B108" s="41">
        <f t="shared" si="9"/>
        <v>48853</v>
      </c>
      <c r="C108" s="42">
        <f t="shared" si="10"/>
        <v>36715.72814</v>
      </c>
      <c r="D108" s="42">
        <f t="shared" si="1"/>
        <v>1669.15689</v>
      </c>
      <c r="E108" s="42">
        <f t="shared" si="2"/>
        <v>0</v>
      </c>
      <c r="F108" s="42">
        <f t="shared" si="3"/>
        <v>1669.15689</v>
      </c>
      <c r="G108" s="42">
        <f t="shared" si="4"/>
        <v>1531.472909</v>
      </c>
      <c r="H108" s="42">
        <f t="shared" si="5"/>
        <v>137.6839805</v>
      </c>
      <c r="I108" s="42">
        <f t="shared" si="6"/>
        <v>35184.25523</v>
      </c>
      <c r="J108" s="43">
        <f t="shared" si="7"/>
        <v>0.218460005</v>
      </c>
    </row>
    <row r="109">
      <c r="A109" s="40">
        <f t="shared" si="8"/>
        <v>99</v>
      </c>
      <c r="B109" s="41">
        <f t="shared" si="9"/>
        <v>48884</v>
      </c>
      <c r="C109" s="42">
        <f t="shared" si="10"/>
        <v>35184.25523</v>
      </c>
      <c r="D109" s="42">
        <f t="shared" si="1"/>
        <v>1669.15689</v>
      </c>
      <c r="E109" s="42">
        <f t="shared" si="2"/>
        <v>0</v>
      </c>
      <c r="F109" s="42">
        <f t="shared" si="3"/>
        <v>1669.15689</v>
      </c>
      <c r="G109" s="42">
        <f t="shared" si="4"/>
        <v>1537.215933</v>
      </c>
      <c r="H109" s="42">
        <f t="shared" si="5"/>
        <v>131.9409571</v>
      </c>
      <c r="I109" s="42">
        <f t="shared" si="6"/>
        <v>33647.0393</v>
      </c>
      <c r="J109" s="43">
        <f t="shared" si="7"/>
        <v>0.2089153892</v>
      </c>
    </row>
    <row r="110">
      <c r="A110" s="40">
        <f t="shared" si="8"/>
        <v>100</v>
      </c>
      <c r="B110" s="41">
        <f t="shared" si="9"/>
        <v>48914</v>
      </c>
      <c r="C110" s="42">
        <f t="shared" si="10"/>
        <v>33647.0393</v>
      </c>
      <c r="D110" s="42">
        <f t="shared" si="1"/>
        <v>1669.15689</v>
      </c>
      <c r="E110" s="42">
        <f t="shared" si="2"/>
        <v>0</v>
      </c>
      <c r="F110" s="42">
        <f t="shared" si="3"/>
        <v>1669.15689</v>
      </c>
      <c r="G110" s="42">
        <f t="shared" si="4"/>
        <v>1542.980493</v>
      </c>
      <c r="H110" s="42">
        <f t="shared" si="5"/>
        <v>126.1763974</v>
      </c>
      <c r="I110" s="42">
        <f t="shared" si="6"/>
        <v>32104.05881</v>
      </c>
      <c r="J110" s="43">
        <f t="shared" si="7"/>
        <v>0.199334981</v>
      </c>
    </row>
    <row r="111">
      <c r="A111" s="40">
        <f t="shared" si="8"/>
        <v>101</v>
      </c>
      <c r="B111" s="41">
        <f t="shared" si="9"/>
        <v>48945</v>
      </c>
      <c r="C111" s="42">
        <f t="shared" si="10"/>
        <v>32104.05881</v>
      </c>
      <c r="D111" s="42">
        <f t="shared" si="1"/>
        <v>1669.15689</v>
      </c>
      <c r="E111" s="42">
        <f t="shared" si="2"/>
        <v>0</v>
      </c>
      <c r="F111" s="42">
        <f t="shared" si="3"/>
        <v>1669.15689</v>
      </c>
      <c r="G111" s="42">
        <f t="shared" si="4"/>
        <v>1548.766669</v>
      </c>
      <c r="H111" s="42">
        <f t="shared" si="5"/>
        <v>120.3902205</v>
      </c>
      <c r="I111" s="42">
        <f t="shared" si="6"/>
        <v>30555.29214</v>
      </c>
      <c r="J111" s="43">
        <f t="shared" si="7"/>
        <v>0.1897186463</v>
      </c>
    </row>
    <row r="112">
      <c r="A112" s="40">
        <f t="shared" si="8"/>
        <v>102</v>
      </c>
      <c r="B112" s="41">
        <f t="shared" si="9"/>
        <v>48976</v>
      </c>
      <c r="C112" s="42">
        <f t="shared" si="10"/>
        <v>30555.29214</v>
      </c>
      <c r="D112" s="42">
        <f t="shared" si="1"/>
        <v>1669.15689</v>
      </c>
      <c r="E112" s="42">
        <f t="shared" si="2"/>
        <v>0</v>
      </c>
      <c r="F112" s="42">
        <f t="shared" si="3"/>
        <v>1669.15689</v>
      </c>
      <c r="G112" s="42">
        <f t="shared" si="4"/>
        <v>1554.574544</v>
      </c>
      <c r="H112" s="42">
        <f t="shared" si="5"/>
        <v>114.5823455</v>
      </c>
      <c r="I112" s="42">
        <f t="shared" si="6"/>
        <v>29000.71759</v>
      </c>
      <c r="J112" s="43">
        <f t="shared" si="7"/>
        <v>0.1800662503</v>
      </c>
    </row>
    <row r="113">
      <c r="A113" s="40">
        <f t="shared" si="8"/>
        <v>103</v>
      </c>
      <c r="B113" s="41">
        <f t="shared" si="9"/>
        <v>49004</v>
      </c>
      <c r="C113" s="42">
        <f t="shared" si="10"/>
        <v>29000.71759</v>
      </c>
      <c r="D113" s="42">
        <f t="shared" si="1"/>
        <v>1669.15689</v>
      </c>
      <c r="E113" s="42">
        <f t="shared" si="2"/>
        <v>0</v>
      </c>
      <c r="F113" s="42">
        <f t="shared" si="3"/>
        <v>1669.15689</v>
      </c>
      <c r="G113" s="42">
        <f t="shared" si="4"/>
        <v>1560.404199</v>
      </c>
      <c r="H113" s="42">
        <f t="shared" si="5"/>
        <v>108.752691</v>
      </c>
      <c r="I113" s="42">
        <f t="shared" si="6"/>
        <v>27440.31339</v>
      </c>
      <c r="J113" s="43">
        <f t="shared" si="7"/>
        <v>0.1703776579</v>
      </c>
    </row>
    <row r="114">
      <c r="A114" s="40">
        <f t="shared" si="8"/>
        <v>104</v>
      </c>
      <c r="B114" s="41">
        <f t="shared" si="9"/>
        <v>49035</v>
      </c>
      <c r="C114" s="42">
        <f t="shared" si="10"/>
        <v>27440.31339</v>
      </c>
      <c r="D114" s="42">
        <f t="shared" si="1"/>
        <v>1669.15689</v>
      </c>
      <c r="E114" s="42">
        <f t="shared" si="2"/>
        <v>0</v>
      </c>
      <c r="F114" s="42">
        <f t="shared" si="3"/>
        <v>1669.15689</v>
      </c>
      <c r="G114" s="42">
        <f t="shared" si="4"/>
        <v>1566.255715</v>
      </c>
      <c r="H114" s="42">
        <f t="shared" si="5"/>
        <v>102.9011752</v>
      </c>
      <c r="I114" s="42">
        <f t="shared" si="6"/>
        <v>25874.05768</v>
      </c>
      <c r="J114" s="43">
        <f t="shared" si="7"/>
        <v>0.1606527332</v>
      </c>
    </row>
    <row r="115">
      <c r="A115" s="40">
        <f t="shared" si="8"/>
        <v>105</v>
      </c>
      <c r="B115" s="41">
        <f t="shared" si="9"/>
        <v>49065</v>
      </c>
      <c r="C115" s="42">
        <f t="shared" si="10"/>
        <v>25874.05768</v>
      </c>
      <c r="D115" s="42">
        <f t="shared" si="1"/>
        <v>1669.15689</v>
      </c>
      <c r="E115" s="42">
        <f t="shared" si="2"/>
        <v>0</v>
      </c>
      <c r="F115" s="42">
        <f t="shared" si="3"/>
        <v>1669.15689</v>
      </c>
      <c r="G115" s="42">
        <f t="shared" si="4"/>
        <v>1572.129174</v>
      </c>
      <c r="H115" s="42">
        <f t="shared" si="5"/>
        <v>97.02771629</v>
      </c>
      <c r="I115" s="42">
        <f t="shared" si="6"/>
        <v>24301.9285</v>
      </c>
      <c r="J115" s="43">
        <f t="shared" si="7"/>
        <v>0.1508913401</v>
      </c>
    </row>
    <row r="116">
      <c r="A116" s="40">
        <f t="shared" si="8"/>
        <v>106</v>
      </c>
      <c r="B116" s="41">
        <f t="shared" si="9"/>
        <v>49096</v>
      </c>
      <c r="C116" s="42">
        <f t="shared" si="10"/>
        <v>24301.9285</v>
      </c>
      <c r="D116" s="42">
        <f t="shared" si="1"/>
        <v>1669.15689</v>
      </c>
      <c r="E116" s="42">
        <f t="shared" si="2"/>
        <v>0</v>
      </c>
      <c r="F116" s="42">
        <f t="shared" si="3"/>
        <v>1669.15689</v>
      </c>
      <c r="G116" s="42">
        <f t="shared" si="4"/>
        <v>1578.024658</v>
      </c>
      <c r="H116" s="42">
        <f t="shared" si="5"/>
        <v>91.13223189</v>
      </c>
      <c r="I116" s="42">
        <f t="shared" si="6"/>
        <v>22723.90385</v>
      </c>
      <c r="J116" s="43">
        <f t="shared" si="7"/>
        <v>0.1410933418</v>
      </c>
    </row>
    <row r="117">
      <c r="A117" s="40">
        <f t="shared" si="8"/>
        <v>107</v>
      </c>
      <c r="B117" s="41">
        <f t="shared" si="9"/>
        <v>49126</v>
      </c>
      <c r="C117" s="42">
        <f t="shared" si="10"/>
        <v>22723.90385</v>
      </c>
      <c r="D117" s="42">
        <f t="shared" si="1"/>
        <v>1669.15689</v>
      </c>
      <c r="E117" s="42">
        <f t="shared" si="2"/>
        <v>0</v>
      </c>
      <c r="F117" s="42">
        <f t="shared" si="3"/>
        <v>1669.15689</v>
      </c>
      <c r="G117" s="42">
        <f t="shared" si="4"/>
        <v>1583.942251</v>
      </c>
      <c r="H117" s="42">
        <f t="shared" si="5"/>
        <v>85.21463943</v>
      </c>
      <c r="I117" s="42">
        <f t="shared" si="6"/>
        <v>21139.9616</v>
      </c>
      <c r="J117" s="43">
        <f t="shared" si="7"/>
        <v>0.1312586009</v>
      </c>
    </row>
    <row r="118">
      <c r="A118" s="40">
        <f t="shared" si="8"/>
        <v>108</v>
      </c>
      <c r="B118" s="41">
        <f t="shared" si="9"/>
        <v>49157</v>
      </c>
      <c r="C118" s="42">
        <f t="shared" si="10"/>
        <v>21139.9616</v>
      </c>
      <c r="D118" s="42">
        <f t="shared" si="1"/>
        <v>1669.15689</v>
      </c>
      <c r="E118" s="42">
        <f t="shared" si="2"/>
        <v>0</v>
      </c>
      <c r="F118" s="42">
        <f t="shared" si="3"/>
        <v>1669.15689</v>
      </c>
      <c r="G118" s="42">
        <f t="shared" si="4"/>
        <v>1589.882034</v>
      </c>
      <c r="H118" s="42">
        <f t="shared" si="5"/>
        <v>79.27485599</v>
      </c>
      <c r="I118" s="42">
        <f t="shared" si="6"/>
        <v>19550.07956</v>
      </c>
      <c r="J118" s="43">
        <f t="shared" si="7"/>
        <v>0.1213869798</v>
      </c>
    </row>
    <row r="119">
      <c r="A119" s="40">
        <f t="shared" si="8"/>
        <v>109</v>
      </c>
      <c r="B119" s="41">
        <f t="shared" si="9"/>
        <v>49188</v>
      </c>
      <c r="C119" s="42">
        <f t="shared" si="10"/>
        <v>19550.07956</v>
      </c>
      <c r="D119" s="42">
        <f t="shared" si="1"/>
        <v>1669.15689</v>
      </c>
      <c r="E119" s="42">
        <f t="shared" si="2"/>
        <v>0</v>
      </c>
      <c r="F119" s="42">
        <f t="shared" si="3"/>
        <v>1669.15689</v>
      </c>
      <c r="G119" s="42">
        <f t="shared" si="4"/>
        <v>1595.844092</v>
      </c>
      <c r="H119" s="42">
        <f t="shared" si="5"/>
        <v>73.31279836</v>
      </c>
      <c r="I119" s="42">
        <f t="shared" si="6"/>
        <v>17954.23547</v>
      </c>
      <c r="J119" s="43">
        <f t="shared" si="7"/>
        <v>0.1114783401</v>
      </c>
    </row>
    <row r="120">
      <c r="A120" s="40">
        <f t="shared" si="8"/>
        <v>110</v>
      </c>
      <c r="B120" s="41">
        <f t="shared" si="9"/>
        <v>49218</v>
      </c>
      <c r="C120" s="42">
        <f t="shared" si="10"/>
        <v>17954.23547</v>
      </c>
      <c r="D120" s="42">
        <f t="shared" si="1"/>
        <v>1669.15689</v>
      </c>
      <c r="E120" s="42">
        <f t="shared" si="2"/>
        <v>0</v>
      </c>
      <c r="F120" s="42">
        <f t="shared" si="3"/>
        <v>1669.15689</v>
      </c>
      <c r="G120" s="42">
        <f t="shared" si="4"/>
        <v>1601.828507</v>
      </c>
      <c r="H120" s="42">
        <f t="shared" si="5"/>
        <v>67.32838302</v>
      </c>
      <c r="I120" s="42">
        <f t="shared" si="6"/>
        <v>16352.40696</v>
      </c>
      <c r="J120" s="43">
        <f t="shared" si="7"/>
        <v>0.101532543</v>
      </c>
    </row>
    <row r="121">
      <c r="A121" s="40">
        <f t="shared" si="8"/>
        <v>111</v>
      </c>
      <c r="B121" s="41">
        <f t="shared" si="9"/>
        <v>49249</v>
      </c>
      <c r="C121" s="42">
        <f t="shared" si="10"/>
        <v>16352.40696</v>
      </c>
      <c r="D121" s="42">
        <f t="shared" si="1"/>
        <v>1669.15689</v>
      </c>
      <c r="E121" s="42">
        <f t="shared" si="2"/>
        <v>0</v>
      </c>
      <c r="F121" s="42">
        <f t="shared" si="3"/>
        <v>1669.15689</v>
      </c>
      <c r="G121" s="42">
        <f t="shared" si="4"/>
        <v>1607.835364</v>
      </c>
      <c r="H121" s="42">
        <f t="shared" si="5"/>
        <v>61.32152611</v>
      </c>
      <c r="I121" s="42">
        <f t="shared" si="6"/>
        <v>14744.5716</v>
      </c>
      <c r="J121" s="43">
        <f t="shared" si="7"/>
        <v>0.09154944917</v>
      </c>
    </row>
    <row r="122">
      <c r="A122" s="40">
        <f t="shared" si="8"/>
        <v>112</v>
      </c>
      <c r="B122" s="41">
        <f t="shared" si="9"/>
        <v>49279</v>
      </c>
      <c r="C122" s="42">
        <f t="shared" si="10"/>
        <v>14744.5716</v>
      </c>
      <c r="D122" s="42">
        <f t="shared" si="1"/>
        <v>1669.15689</v>
      </c>
      <c r="E122" s="42">
        <f t="shared" si="2"/>
        <v>0</v>
      </c>
      <c r="F122" s="42">
        <f t="shared" si="3"/>
        <v>1669.15689</v>
      </c>
      <c r="G122" s="42">
        <f t="shared" si="4"/>
        <v>1613.864746</v>
      </c>
      <c r="H122" s="42">
        <f t="shared" si="5"/>
        <v>55.2921435</v>
      </c>
      <c r="I122" s="42">
        <f t="shared" si="6"/>
        <v>13130.70685</v>
      </c>
      <c r="J122" s="43">
        <f t="shared" si="7"/>
        <v>0.08152891872</v>
      </c>
    </row>
    <row r="123">
      <c r="A123" s="40">
        <f t="shared" si="8"/>
        <v>113</v>
      </c>
      <c r="B123" s="41">
        <f t="shared" si="9"/>
        <v>49310</v>
      </c>
      <c r="C123" s="42">
        <f t="shared" si="10"/>
        <v>13130.70685</v>
      </c>
      <c r="D123" s="42">
        <f t="shared" si="1"/>
        <v>1669.15689</v>
      </c>
      <c r="E123" s="42">
        <f t="shared" si="2"/>
        <v>0</v>
      </c>
      <c r="F123" s="42">
        <f t="shared" si="3"/>
        <v>1669.15689</v>
      </c>
      <c r="G123" s="42">
        <f t="shared" si="4"/>
        <v>1619.916739</v>
      </c>
      <c r="H123" s="42">
        <f t="shared" si="5"/>
        <v>49.2401507</v>
      </c>
      <c r="I123" s="42">
        <f t="shared" si="6"/>
        <v>11510.79011</v>
      </c>
      <c r="J123" s="43">
        <f t="shared" si="7"/>
        <v>0.07147081129</v>
      </c>
    </row>
    <row r="124">
      <c r="A124" s="40">
        <f t="shared" si="8"/>
        <v>114</v>
      </c>
      <c r="B124" s="41">
        <f t="shared" si="9"/>
        <v>49341</v>
      </c>
      <c r="C124" s="42">
        <f t="shared" si="10"/>
        <v>11510.79011</v>
      </c>
      <c r="D124" s="42">
        <f t="shared" si="1"/>
        <v>1669.15689</v>
      </c>
      <c r="E124" s="42">
        <f t="shared" si="2"/>
        <v>0</v>
      </c>
      <c r="F124" s="42">
        <f t="shared" si="3"/>
        <v>1669.15689</v>
      </c>
      <c r="G124" s="42">
        <f t="shared" si="4"/>
        <v>1625.991427</v>
      </c>
      <c r="H124" s="42">
        <f t="shared" si="5"/>
        <v>43.16546293</v>
      </c>
      <c r="I124" s="42">
        <f t="shared" si="6"/>
        <v>9884.798687</v>
      </c>
      <c r="J124" s="43">
        <f t="shared" si="7"/>
        <v>0.06137498596</v>
      </c>
    </row>
    <row r="125">
      <c r="A125" s="40">
        <f t="shared" si="8"/>
        <v>115</v>
      </c>
      <c r="B125" s="41">
        <f t="shared" si="9"/>
        <v>49369</v>
      </c>
      <c r="C125" s="42">
        <f t="shared" si="10"/>
        <v>9884.798687</v>
      </c>
      <c r="D125" s="42">
        <f t="shared" si="1"/>
        <v>1669.15689</v>
      </c>
      <c r="E125" s="42">
        <f t="shared" si="2"/>
        <v>0</v>
      </c>
      <c r="F125" s="42">
        <f t="shared" si="3"/>
        <v>1669.15689</v>
      </c>
      <c r="G125" s="42">
        <f t="shared" si="4"/>
        <v>1632.088895</v>
      </c>
      <c r="H125" s="42">
        <f t="shared" si="5"/>
        <v>37.06799508</v>
      </c>
      <c r="I125" s="42">
        <f t="shared" si="6"/>
        <v>8252.709793</v>
      </c>
      <c r="J125" s="43">
        <f t="shared" si="7"/>
        <v>0.05124130128</v>
      </c>
    </row>
    <row r="126">
      <c r="A126" s="40">
        <f t="shared" si="8"/>
        <v>116</v>
      </c>
      <c r="B126" s="41">
        <f t="shared" si="9"/>
        <v>49400</v>
      </c>
      <c r="C126" s="42">
        <f t="shared" si="10"/>
        <v>8252.709793</v>
      </c>
      <c r="D126" s="42">
        <f t="shared" si="1"/>
        <v>1669.15689</v>
      </c>
      <c r="E126" s="42">
        <f t="shared" si="2"/>
        <v>0</v>
      </c>
      <c r="F126" s="42">
        <f t="shared" si="3"/>
        <v>1669.15689</v>
      </c>
      <c r="G126" s="42">
        <f t="shared" si="4"/>
        <v>1638.209228</v>
      </c>
      <c r="H126" s="42">
        <f t="shared" si="5"/>
        <v>30.94766172</v>
      </c>
      <c r="I126" s="42">
        <f t="shared" si="6"/>
        <v>6614.500564</v>
      </c>
      <c r="J126" s="43">
        <f t="shared" si="7"/>
        <v>0.04106961529</v>
      </c>
    </row>
    <row r="127">
      <c r="A127" s="40">
        <f t="shared" si="8"/>
        <v>117</v>
      </c>
      <c r="B127" s="41">
        <f t="shared" si="9"/>
        <v>49430</v>
      </c>
      <c r="C127" s="42">
        <f t="shared" si="10"/>
        <v>6614.500564</v>
      </c>
      <c r="D127" s="42">
        <f t="shared" si="1"/>
        <v>1669.15689</v>
      </c>
      <c r="E127" s="42">
        <f t="shared" si="2"/>
        <v>0</v>
      </c>
      <c r="F127" s="42">
        <f t="shared" si="3"/>
        <v>1669.15689</v>
      </c>
      <c r="G127" s="42">
        <f t="shared" si="4"/>
        <v>1644.352513</v>
      </c>
      <c r="H127" s="42">
        <f t="shared" si="5"/>
        <v>24.80437712</v>
      </c>
      <c r="I127" s="42">
        <f t="shared" si="6"/>
        <v>4970.148052</v>
      </c>
      <c r="J127" s="43">
        <f t="shared" si="7"/>
        <v>0.03085978547</v>
      </c>
    </row>
    <row r="128">
      <c r="A128" s="40">
        <f t="shared" si="8"/>
        <v>118</v>
      </c>
      <c r="B128" s="41">
        <f t="shared" si="9"/>
        <v>49461</v>
      </c>
      <c r="C128" s="42">
        <f t="shared" si="10"/>
        <v>4970.148052</v>
      </c>
      <c r="D128" s="42">
        <f t="shared" si="1"/>
        <v>1669.15689</v>
      </c>
      <c r="E128" s="42">
        <f t="shared" si="2"/>
        <v>0</v>
      </c>
      <c r="F128" s="42">
        <f t="shared" si="3"/>
        <v>1669.15689</v>
      </c>
      <c r="G128" s="42">
        <f t="shared" si="4"/>
        <v>1650.518835</v>
      </c>
      <c r="H128" s="42">
        <f t="shared" si="5"/>
        <v>18.63805519</v>
      </c>
      <c r="I128" s="42">
        <f t="shared" si="6"/>
        <v>3319.629217</v>
      </c>
      <c r="J128" s="43">
        <f t="shared" si="7"/>
        <v>0.02061166879</v>
      </c>
    </row>
    <row r="129">
      <c r="A129" s="40">
        <f t="shared" si="8"/>
        <v>119</v>
      </c>
      <c r="B129" s="41">
        <f t="shared" si="9"/>
        <v>49491</v>
      </c>
      <c r="C129" s="42">
        <f t="shared" si="10"/>
        <v>3319.629217</v>
      </c>
      <c r="D129" s="42">
        <f t="shared" si="1"/>
        <v>1669.15689</v>
      </c>
      <c r="E129" s="42">
        <f t="shared" si="2"/>
        <v>0</v>
      </c>
      <c r="F129" s="42">
        <f t="shared" si="3"/>
        <v>1669.15689</v>
      </c>
      <c r="G129" s="42">
        <f t="shared" si="4"/>
        <v>1656.70828</v>
      </c>
      <c r="H129" s="42">
        <f t="shared" si="5"/>
        <v>12.44860956</v>
      </c>
      <c r="I129" s="42">
        <f t="shared" si="6"/>
        <v>1662.920936</v>
      </c>
      <c r="J129" s="43">
        <f t="shared" si="7"/>
        <v>0.01032512167</v>
      </c>
    </row>
    <row r="130">
      <c r="A130" s="40">
        <f t="shared" si="8"/>
        <v>120</v>
      </c>
      <c r="B130" s="41">
        <f t="shared" si="9"/>
        <v>49522</v>
      </c>
      <c r="C130" s="42">
        <f t="shared" si="10"/>
        <v>1662.920936</v>
      </c>
      <c r="D130" s="42">
        <f t="shared" si="1"/>
        <v>1669.15689</v>
      </c>
      <c r="E130" s="42">
        <f t="shared" si="2"/>
        <v>0</v>
      </c>
      <c r="F130" s="42">
        <f t="shared" si="3"/>
        <v>1662.920936</v>
      </c>
      <c r="G130" s="42">
        <f t="shared" si="4"/>
        <v>1656.684983</v>
      </c>
      <c r="H130" s="42">
        <f t="shared" si="5"/>
        <v>6.235953512</v>
      </c>
      <c r="I130" s="42">
        <f t="shared" si="6"/>
        <v>0</v>
      </c>
      <c r="J130" s="43">
        <f t="shared" si="7"/>
        <v>0</v>
      </c>
    </row>
    <row r="131">
      <c r="A131" s="40" t="str">
        <f t="shared" si="8"/>
        <v/>
      </c>
      <c r="B131" s="44" t="str">
        <f t="shared" si="9"/>
        <v/>
      </c>
      <c r="C131" s="45" t="str">
        <f t="shared" si="10"/>
        <v/>
      </c>
      <c r="D131" s="45" t="str">
        <f t="shared" si="1"/>
        <v/>
      </c>
      <c r="E131" s="45" t="str">
        <f t="shared" si="2"/>
        <v/>
      </c>
      <c r="F131" s="45" t="str">
        <f t="shared" si="3"/>
        <v/>
      </c>
      <c r="G131" s="45" t="str">
        <f t="shared" si="4"/>
        <v/>
      </c>
      <c r="H131" s="45" t="str">
        <f t="shared" si="5"/>
        <v/>
      </c>
      <c r="I131" s="45" t="str">
        <f t="shared" si="6"/>
        <v/>
      </c>
      <c r="J131" s="43"/>
    </row>
    <row r="132">
      <c r="A132" s="40" t="str">
        <f t="shared" si="8"/>
        <v/>
      </c>
      <c r="B132" s="44" t="str">
        <f t="shared" si="9"/>
        <v/>
      </c>
      <c r="C132" s="45" t="str">
        <f t="shared" si="10"/>
        <v/>
      </c>
      <c r="D132" s="45" t="str">
        <f t="shared" si="1"/>
        <v/>
      </c>
      <c r="E132" s="45" t="str">
        <f t="shared" si="2"/>
        <v/>
      </c>
      <c r="F132" s="45" t="str">
        <f t="shared" si="3"/>
        <v/>
      </c>
      <c r="G132" s="45" t="str">
        <f t="shared" si="4"/>
        <v/>
      </c>
      <c r="H132" s="45" t="str">
        <f t="shared" si="5"/>
        <v/>
      </c>
      <c r="I132" s="45" t="str">
        <f t="shared" si="6"/>
        <v/>
      </c>
      <c r="J132" s="43"/>
    </row>
    <row r="133">
      <c r="A133" s="40" t="str">
        <f t="shared" si="8"/>
        <v/>
      </c>
      <c r="B133" s="44" t="str">
        <f t="shared" si="9"/>
        <v/>
      </c>
      <c r="C133" s="45" t="str">
        <f t="shared" si="10"/>
        <v/>
      </c>
      <c r="D133" s="45" t="str">
        <f t="shared" si="1"/>
        <v/>
      </c>
      <c r="E133" s="45" t="str">
        <f t="shared" si="2"/>
        <v/>
      </c>
      <c r="F133" s="45" t="str">
        <f t="shared" si="3"/>
        <v/>
      </c>
      <c r="G133" s="45" t="str">
        <f t="shared" si="4"/>
        <v/>
      </c>
      <c r="H133" s="45" t="str">
        <f t="shared" si="5"/>
        <v/>
      </c>
      <c r="I133" s="45" t="str">
        <f t="shared" si="6"/>
        <v/>
      </c>
      <c r="J133" s="43"/>
    </row>
    <row r="134">
      <c r="A134" s="40" t="str">
        <f t="shared" si="8"/>
        <v/>
      </c>
      <c r="B134" s="44" t="str">
        <f t="shared" si="9"/>
        <v/>
      </c>
      <c r="C134" s="45" t="str">
        <f t="shared" si="10"/>
        <v/>
      </c>
      <c r="D134" s="45" t="str">
        <f t="shared" si="1"/>
        <v/>
      </c>
      <c r="E134" s="45" t="str">
        <f t="shared" si="2"/>
        <v/>
      </c>
      <c r="F134" s="45" t="str">
        <f t="shared" si="3"/>
        <v/>
      </c>
      <c r="G134" s="45" t="str">
        <f t="shared" si="4"/>
        <v/>
      </c>
      <c r="H134" s="45" t="str">
        <f t="shared" si="5"/>
        <v/>
      </c>
      <c r="I134" s="45" t="str">
        <f t="shared" si="6"/>
        <v/>
      </c>
      <c r="J134" s="43"/>
    </row>
    <row r="135">
      <c r="A135" s="40" t="str">
        <f t="shared" si="8"/>
        <v/>
      </c>
      <c r="B135" s="44" t="str">
        <f t="shared" si="9"/>
        <v/>
      </c>
      <c r="C135" s="45" t="str">
        <f t="shared" si="10"/>
        <v/>
      </c>
      <c r="D135" s="45" t="str">
        <f t="shared" si="1"/>
        <v/>
      </c>
      <c r="E135" s="45" t="str">
        <f t="shared" si="2"/>
        <v/>
      </c>
      <c r="F135" s="45" t="str">
        <f t="shared" si="3"/>
        <v/>
      </c>
      <c r="G135" s="45" t="str">
        <f t="shared" si="4"/>
        <v/>
      </c>
      <c r="H135" s="45" t="str">
        <f t="shared" si="5"/>
        <v/>
      </c>
      <c r="I135" s="45" t="str">
        <f t="shared" si="6"/>
        <v/>
      </c>
      <c r="J135" s="43"/>
    </row>
    <row r="136">
      <c r="A136" s="40" t="str">
        <f t="shared" si="8"/>
        <v/>
      </c>
      <c r="B136" s="44" t="str">
        <f t="shared" si="9"/>
        <v/>
      </c>
      <c r="C136" s="45" t="str">
        <f t="shared" si="10"/>
        <v/>
      </c>
      <c r="D136" s="45" t="str">
        <f t="shared" si="1"/>
        <v/>
      </c>
      <c r="E136" s="45" t="str">
        <f t="shared" si="2"/>
        <v/>
      </c>
      <c r="F136" s="45" t="str">
        <f t="shared" si="3"/>
        <v/>
      </c>
      <c r="G136" s="45" t="str">
        <f t="shared" si="4"/>
        <v/>
      </c>
      <c r="H136" s="45" t="str">
        <f t="shared" si="5"/>
        <v/>
      </c>
      <c r="I136" s="45" t="str">
        <f t="shared" si="6"/>
        <v/>
      </c>
      <c r="J136" s="43"/>
    </row>
    <row r="137">
      <c r="A137" s="40" t="str">
        <f t="shared" si="8"/>
        <v/>
      </c>
      <c r="B137" s="44" t="str">
        <f t="shared" si="9"/>
        <v/>
      </c>
      <c r="C137" s="45" t="str">
        <f t="shared" si="10"/>
        <v/>
      </c>
      <c r="D137" s="45" t="str">
        <f t="shared" si="1"/>
        <v/>
      </c>
      <c r="E137" s="45" t="str">
        <f t="shared" si="2"/>
        <v/>
      </c>
      <c r="F137" s="45" t="str">
        <f t="shared" si="3"/>
        <v/>
      </c>
      <c r="G137" s="45" t="str">
        <f t="shared" si="4"/>
        <v/>
      </c>
      <c r="H137" s="45" t="str">
        <f t="shared" si="5"/>
        <v/>
      </c>
      <c r="I137" s="45" t="str">
        <f t="shared" si="6"/>
        <v/>
      </c>
      <c r="J137" s="43"/>
    </row>
    <row r="138">
      <c r="A138" s="40" t="str">
        <f t="shared" si="8"/>
        <v/>
      </c>
      <c r="B138" s="44" t="str">
        <f t="shared" si="9"/>
        <v/>
      </c>
      <c r="C138" s="45" t="str">
        <f t="shared" si="10"/>
        <v/>
      </c>
      <c r="D138" s="45" t="str">
        <f t="shared" si="1"/>
        <v/>
      </c>
      <c r="E138" s="45" t="str">
        <f t="shared" si="2"/>
        <v/>
      </c>
      <c r="F138" s="45" t="str">
        <f t="shared" si="3"/>
        <v/>
      </c>
      <c r="G138" s="45" t="str">
        <f t="shared" si="4"/>
        <v/>
      </c>
      <c r="H138" s="45" t="str">
        <f t="shared" si="5"/>
        <v/>
      </c>
      <c r="I138" s="45" t="str">
        <f t="shared" si="6"/>
        <v/>
      </c>
      <c r="J138" s="43"/>
    </row>
    <row r="139">
      <c r="A139" s="40" t="str">
        <f t="shared" si="8"/>
        <v/>
      </c>
      <c r="B139" s="44" t="str">
        <f t="shared" si="9"/>
        <v/>
      </c>
      <c r="C139" s="45" t="str">
        <f t="shared" si="10"/>
        <v/>
      </c>
      <c r="D139" s="45" t="str">
        <f t="shared" si="1"/>
        <v/>
      </c>
      <c r="E139" s="45" t="str">
        <f t="shared" si="2"/>
        <v/>
      </c>
      <c r="F139" s="45" t="str">
        <f t="shared" si="3"/>
        <v/>
      </c>
      <c r="G139" s="45" t="str">
        <f t="shared" si="4"/>
        <v/>
      </c>
      <c r="H139" s="45" t="str">
        <f t="shared" si="5"/>
        <v/>
      </c>
      <c r="I139" s="45" t="str">
        <f t="shared" si="6"/>
        <v/>
      </c>
      <c r="J139" s="43"/>
    </row>
    <row r="140">
      <c r="A140" s="40" t="str">
        <f t="shared" si="8"/>
        <v/>
      </c>
      <c r="B140" s="44" t="str">
        <f t="shared" si="9"/>
        <v/>
      </c>
      <c r="C140" s="45" t="str">
        <f t="shared" si="10"/>
        <v/>
      </c>
      <c r="D140" s="45" t="str">
        <f t="shared" si="1"/>
        <v/>
      </c>
      <c r="E140" s="45" t="str">
        <f t="shared" si="2"/>
        <v/>
      </c>
      <c r="F140" s="45" t="str">
        <f t="shared" si="3"/>
        <v/>
      </c>
      <c r="G140" s="45" t="str">
        <f t="shared" si="4"/>
        <v/>
      </c>
      <c r="H140" s="45" t="str">
        <f t="shared" si="5"/>
        <v/>
      </c>
      <c r="I140" s="45" t="str">
        <f t="shared" si="6"/>
        <v/>
      </c>
      <c r="J140" s="43"/>
    </row>
    <row r="141">
      <c r="A141" s="40" t="str">
        <f t="shared" si="8"/>
        <v/>
      </c>
      <c r="B141" s="44" t="str">
        <f t="shared" si="9"/>
        <v/>
      </c>
      <c r="C141" s="45" t="str">
        <f t="shared" si="10"/>
        <v/>
      </c>
      <c r="D141" s="45" t="str">
        <f t="shared" si="1"/>
        <v/>
      </c>
      <c r="E141" s="45" t="str">
        <f t="shared" si="2"/>
        <v/>
      </c>
      <c r="F141" s="45" t="str">
        <f t="shared" si="3"/>
        <v/>
      </c>
      <c r="G141" s="45" t="str">
        <f t="shared" si="4"/>
        <v/>
      </c>
      <c r="H141" s="45" t="str">
        <f t="shared" si="5"/>
        <v/>
      </c>
      <c r="I141" s="45" t="str">
        <f t="shared" si="6"/>
        <v/>
      </c>
      <c r="J141" s="43"/>
    </row>
    <row r="142">
      <c r="A142" s="40" t="str">
        <f t="shared" si="8"/>
        <v/>
      </c>
      <c r="B142" s="44" t="str">
        <f t="shared" si="9"/>
        <v/>
      </c>
      <c r="C142" s="45" t="str">
        <f t="shared" si="10"/>
        <v/>
      </c>
      <c r="D142" s="45" t="str">
        <f t="shared" si="1"/>
        <v/>
      </c>
      <c r="E142" s="45" t="str">
        <f t="shared" si="2"/>
        <v/>
      </c>
      <c r="F142" s="45" t="str">
        <f t="shared" si="3"/>
        <v/>
      </c>
      <c r="G142" s="45" t="str">
        <f t="shared" si="4"/>
        <v/>
      </c>
      <c r="H142" s="45" t="str">
        <f t="shared" si="5"/>
        <v/>
      </c>
      <c r="I142" s="45" t="str">
        <f t="shared" si="6"/>
        <v/>
      </c>
      <c r="J142" s="43"/>
    </row>
    <row r="143">
      <c r="A143" s="40" t="str">
        <f t="shared" si="8"/>
        <v/>
      </c>
      <c r="B143" s="44" t="str">
        <f t="shared" si="9"/>
        <v/>
      </c>
      <c r="C143" s="45" t="str">
        <f t="shared" si="10"/>
        <v/>
      </c>
      <c r="D143" s="45" t="str">
        <f t="shared" si="1"/>
        <v/>
      </c>
      <c r="E143" s="45" t="str">
        <f t="shared" si="2"/>
        <v/>
      </c>
      <c r="F143" s="45" t="str">
        <f t="shared" si="3"/>
        <v/>
      </c>
      <c r="G143" s="45" t="str">
        <f t="shared" si="4"/>
        <v/>
      </c>
      <c r="H143" s="45" t="str">
        <f t="shared" si="5"/>
        <v/>
      </c>
      <c r="I143" s="45" t="str">
        <f t="shared" si="6"/>
        <v/>
      </c>
      <c r="J143" s="43"/>
    </row>
    <row r="144">
      <c r="A144" s="40" t="str">
        <f t="shared" si="8"/>
        <v/>
      </c>
      <c r="B144" s="44" t="str">
        <f t="shared" si="9"/>
        <v/>
      </c>
      <c r="C144" s="45" t="str">
        <f t="shared" si="10"/>
        <v/>
      </c>
      <c r="D144" s="45" t="str">
        <f t="shared" si="1"/>
        <v/>
      </c>
      <c r="E144" s="45" t="str">
        <f t="shared" si="2"/>
        <v/>
      </c>
      <c r="F144" s="45" t="str">
        <f t="shared" si="3"/>
        <v/>
      </c>
      <c r="G144" s="45" t="str">
        <f t="shared" si="4"/>
        <v/>
      </c>
      <c r="H144" s="45" t="str">
        <f t="shared" si="5"/>
        <v/>
      </c>
      <c r="I144" s="45" t="str">
        <f t="shared" si="6"/>
        <v/>
      </c>
      <c r="J144" s="43"/>
    </row>
    <row r="145">
      <c r="A145" s="40" t="str">
        <f t="shared" si="8"/>
        <v/>
      </c>
      <c r="B145" s="44" t="str">
        <f t="shared" si="9"/>
        <v/>
      </c>
      <c r="C145" s="45" t="str">
        <f t="shared" si="10"/>
        <v/>
      </c>
      <c r="D145" s="45" t="str">
        <f t="shared" si="1"/>
        <v/>
      </c>
      <c r="E145" s="45" t="str">
        <f t="shared" si="2"/>
        <v/>
      </c>
      <c r="F145" s="45" t="str">
        <f t="shared" si="3"/>
        <v/>
      </c>
      <c r="G145" s="45" t="str">
        <f t="shared" si="4"/>
        <v/>
      </c>
      <c r="H145" s="45" t="str">
        <f t="shared" si="5"/>
        <v/>
      </c>
      <c r="I145" s="45" t="str">
        <f t="shared" si="6"/>
        <v/>
      </c>
      <c r="J145" s="43"/>
    </row>
    <row r="146">
      <c r="A146" s="40" t="str">
        <f t="shared" si="8"/>
        <v/>
      </c>
      <c r="B146" s="44" t="str">
        <f t="shared" si="9"/>
        <v/>
      </c>
      <c r="C146" s="45" t="str">
        <f t="shared" si="10"/>
        <v/>
      </c>
      <c r="D146" s="45" t="str">
        <f t="shared" si="1"/>
        <v/>
      </c>
      <c r="E146" s="45" t="str">
        <f t="shared" si="2"/>
        <v/>
      </c>
      <c r="F146" s="45" t="str">
        <f t="shared" si="3"/>
        <v/>
      </c>
      <c r="G146" s="45" t="str">
        <f t="shared" si="4"/>
        <v/>
      </c>
      <c r="H146" s="45" t="str">
        <f t="shared" si="5"/>
        <v/>
      </c>
      <c r="I146" s="45" t="str">
        <f t="shared" si="6"/>
        <v/>
      </c>
      <c r="J146" s="43"/>
    </row>
    <row r="147">
      <c r="A147" s="40" t="str">
        <f t="shared" si="8"/>
        <v/>
      </c>
      <c r="B147" s="44" t="str">
        <f t="shared" si="9"/>
        <v/>
      </c>
      <c r="C147" s="45" t="str">
        <f t="shared" si="10"/>
        <v/>
      </c>
      <c r="D147" s="45" t="str">
        <f t="shared" si="1"/>
        <v/>
      </c>
      <c r="E147" s="45" t="str">
        <f t="shared" si="2"/>
        <v/>
      </c>
      <c r="F147" s="45" t="str">
        <f t="shared" si="3"/>
        <v/>
      </c>
      <c r="G147" s="45" t="str">
        <f t="shared" si="4"/>
        <v/>
      </c>
      <c r="H147" s="45" t="str">
        <f t="shared" si="5"/>
        <v/>
      </c>
      <c r="I147" s="45" t="str">
        <f t="shared" si="6"/>
        <v/>
      </c>
      <c r="J147" s="43"/>
    </row>
    <row r="148">
      <c r="A148" s="40" t="str">
        <f t="shared" si="8"/>
        <v/>
      </c>
      <c r="B148" s="44" t="str">
        <f t="shared" si="9"/>
        <v/>
      </c>
      <c r="C148" s="45" t="str">
        <f t="shared" si="10"/>
        <v/>
      </c>
      <c r="D148" s="45" t="str">
        <f t="shared" si="1"/>
        <v/>
      </c>
      <c r="E148" s="45" t="str">
        <f t="shared" si="2"/>
        <v/>
      </c>
      <c r="F148" s="45" t="str">
        <f t="shared" si="3"/>
        <v/>
      </c>
      <c r="G148" s="45" t="str">
        <f t="shared" si="4"/>
        <v/>
      </c>
      <c r="H148" s="45" t="str">
        <f t="shared" si="5"/>
        <v/>
      </c>
      <c r="I148" s="45" t="str">
        <f t="shared" si="6"/>
        <v/>
      </c>
      <c r="J148" s="43"/>
    </row>
    <row r="149">
      <c r="A149" s="40" t="str">
        <f t="shared" si="8"/>
        <v/>
      </c>
      <c r="B149" s="44" t="str">
        <f t="shared" si="9"/>
        <v/>
      </c>
      <c r="C149" s="45" t="str">
        <f t="shared" si="10"/>
        <v/>
      </c>
      <c r="D149" s="45" t="str">
        <f t="shared" si="1"/>
        <v/>
      </c>
      <c r="E149" s="45" t="str">
        <f t="shared" si="2"/>
        <v/>
      </c>
      <c r="F149" s="45" t="str">
        <f t="shared" si="3"/>
        <v/>
      </c>
      <c r="G149" s="45" t="str">
        <f t="shared" si="4"/>
        <v/>
      </c>
      <c r="H149" s="45" t="str">
        <f t="shared" si="5"/>
        <v/>
      </c>
      <c r="I149" s="45" t="str">
        <f t="shared" si="6"/>
        <v/>
      </c>
      <c r="J149" s="43"/>
    </row>
    <row r="150">
      <c r="A150" s="40" t="str">
        <f t="shared" si="8"/>
        <v/>
      </c>
      <c r="B150" s="44" t="str">
        <f t="shared" si="9"/>
        <v/>
      </c>
      <c r="C150" s="45" t="str">
        <f t="shared" si="10"/>
        <v/>
      </c>
      <c r="D150" s="45" t="str">
        <f t="shared" si="1"/>
        <v/>
      </c>
      <c r="E150" s="45" t="str">
        <f t="shared" si="2"/>
        <v/>
      </c>
      <c r="F150" s="45" t="str">
        <f t="shared" si="3"/>
        <v/>
      </c>
      <c r="G150" s="45" t="str">
        <f t="shared" si="4"/>
        <v/>
      </c>
      <c r="H150" s="45" t="str">
        <f t="shared" si="5"/>
        <v/>
      </c>
      <c r="I150" s="45" t="str">
        <f t="shared" si="6"/>
        <v/>
      </c>
      <c r="J150" s="43"/>
    </row>
    <row r="151">
      <c r="A151" s="40" t="str">
        <f t="shared" si="8"/>
        <v/>
      </c>
      <c r="B151" s="44" t="str">
        <f t="shared" si="9"/>
        <v/>
      </c>
      <c r="C151" s="45" t="str">
        <f t="shared" si="10"/>
        <v/>
      </c>
      <c r="D151" s="45" t="str">
        <f t="shared" si="1"/>
        <v/>
      </c>
      <c r="E151" s="45" t="str">
        <f t="shared" si="2"/>
        <v/>
      </c>
      <c r="F151" s="45" t="str">
        <f t="shared" si="3"/>
        <v/>
      </c>
      <c r="G151" s="45" t="str">
        <f t="shared" si="4"/>
        <v/>
      </c>
      <c r="H151" s="45" t="str">
        <f t="shared" si="5"/>
        <v/>
      </c>
      <c r="I151" s="45" t="str">
        <f t="shared" si="6"/>
        <v/>
      </c>
      <c r="J151" s="43"/>
    </row>
    <row r="152">
      <c r="A152" s="40" t="str">
        <f t="shared" si="8"/>
        <v/>
      </c>
      <c r="B152" s="44" t="str">
        <f t="shared" si="9"/>
        <v/>
      </c>
      <c r="C152" s="45" t="str">
        <f t="shared" si="10"/>
        <v/>
      </c>
      <c r="D152" s="45" t="str">
        <f t="shared" si="1"/>
        <v/>
      </c>
      <c r="E152" s="45" t="str">
        <f t="shared" si="2"/>
        <v/>
      </c>
      <c r="F152" s="45" t="str">
        <f t="shared" si="3"/>
        <v/>
      </c>
      <c r="G152" s="45" t="str">
        <f t="shared" si="4"/>
        <v/>
      </c>
      <c r="H152" s="45" t="str">
        <f t="shared" si="5"/>
        <v/>
      </c>
      <c r="I152" s="45" t="str">
        <f t="shared" si="6"/>
        <v/>
      </c>
      <c r="J152" s="43"/>
    </row>
    <row r="153">
      <c r="A153" s="40" t="str">
        <f t="shared" si="8"/>
        <v/>
      </c>
      <c r="B153" s="44" t="str">
        <f t="shared" si="9"/>
        <v/>
      </c>
      <c r="C153" s="45" t="str">
        <f t="shared" si="10"/>
        <v/>
      </c>
      <c r="D153" s="45" t="str">
        <f t="shared" si="1"/>
        <v/>
      </c>
      <c r="E153" s="45" t="str">
        <f t="shared" si="2"/>
        <v/>
      </c>
      <c r="F153" s="45" t="str">
        <f t="shared" si="3"/>
        <v/>
      </c>
      <c r="G153" s="45" t="str">
        <f t="shared" si="4"/>
        <v/>
      </c>
      <c r="H153" s="45" t="str">
        <f t="shared" si="5"/>
        <v/>
      </c>
      <c r="I153" s="45" t="str">
        <f t="shared" si="6"/>
        <v/>
      </c>
      <c r="J153" s="43"/>
    </row>
    <row r="154">
      <c r="A154" s="40" t="str">
        <f t="shared" si="8"/>
        <v/>
      </c>
      <c r="B154" s="44" t="str">
        <f t="shared" si="9"/>
        <v/>
      </c>
      <c r="C154" s="45" t="str">
        <f t="shared" si="10"/>
        <v/>
      </c>
      <c r="D154" s="45" t="str">
        <f t="shared" si="1"/>
        <v/>
      </c>
      <c r="E154" s="45" t="str">
        <f t="shared" si="2"/>
        <v/>
      </c>
      <c r="F154" s="45" t="str">
        <f t="shared" si="3"/>
        <v/>
      </c>
      <c r="G154" s="45" t="str">
        <f t="shared" si="4"/>
        <v/>
      </c>
      <c r="H154" s="45" t="str">
        <f t="shared" si="5"/>
        <v/>
      </c>
      <c r="I154" s="45" t="str">
        <f t="shared" si="6"/>
        <v/>
      </c>
      <c r="J154" s="43"/>
    </row>
    <row r="155">
      <c r="A155" s="40" t="str">
        <f t="shared" si="8"/>
        <v/>
      </c>
      <c r="B155" s="44" t="str">
        <f t="shared" si="9"/>
        <v/>
      </c>
      <c r="C155" s="45" t="str">
        <f t="shared" si="10"/>
        <v/>
      </c>
      <c r="D155" s="45" t="str">
        <f t="shared" si="1"/>
        <v/>
      </c>
      <c r="E155" s="45" t="str">
        <f t="shared" si="2"/>
        <v/>
      </c>
      <c r="F155" s="45" t="str">
        <f t="shared" si="3"/>
        <v/>
      </c>
      <c r="G155" s="45" t="str">
        <f t="shared" si="4"/>
        <v/>
      </c>
      <c r="H155" s="45" t="str">
        <f t="shared" si="5"/>
        <v/>
      </c>
      <c r="I155" s="45" t="str">
        <f t="shared" si="6"/>
        <v/>
      </c>
      <c r="J155" s="43"/>
    </row>
    <row r="156">
      <c r="A156" s="40" t="str">
        <f t="shared" si="8"/>
        <v/>
      </c>
      <c r="B156" s="44" t="str">
        <f t="shared" si="9"/>
        <v/>
      </c>
      <c r="C156" s="45" t="str">
        <f t="shared" si="10"/>
        <v/>
      </c>
      <c r="D156" s="45" t="str">
        <f t="shared" si="1"/>
        <v/>
      </c>
      <c r="E156" s="45" t="str">
        <f t="shared" si="2"/>
        <v/>
      </c>
      <c r="F156" s="45" t="str">
        <f t="shared" si="3"/>
        <v/>
      </c>
      <c r="G156" s="45" t="str">
        <f t="shared" si="4"/>
        <v/>
      </c>
      <c r="H156" s="45" t="str">
        <f t="shared" si="5"/>
        <v/>
      </c>
      <c r="I156" s="45" t="str">
        <f t="shared" si="6"/>
        <v/>
      </c>
      <c r="J156" s="43"/>
    </row>
    <row r="157">
      <c r="A157" s="40" t="str">
        <f t="shared" si="8"/>
        <v/>
      </c>
      <c r="B157" s="44" t="str">
        <f t="shared" si="9"/>
        <v/>
      </c>
      <c r="C157" s="45" t="str">
        <f t="shared" si="10"/>
        <v/>
      </c>
      <c r="D157" s="45" t="str">
        <f t="shared" si="1"/>
        <v/>
      </c>
      <c r="E157" s="45" t="str">
        <f t="shared" si="2"/>
        <v/>
      </c>
      <c r="F157" s="45" t="str">
        <f t="shared" si="3"/>
        <v/>
      </c>
      <c r="G157" s="45" t="str">
        <f t="shared" si="4"/>
        <v/>
      </c>
      <c r="H157" s="45" t="str">
        <f t="shared" si="5"/>
        <v/>
      </c>
      <c r="I157" s="45" t="str">
        <f t="shared" si="6"/>
        <v/>
      </c>
      <c r="J157" s="43"/>
    </row>
    <row r="158">
      <c r="A158" s="40" t="str">
        <f t="shared" si="8"/>
        <v/>
      </c>
      <c r="B158" s="44" t="str">
        <f t="shared" si="9"/>
        <v/>
      </c>
      <c r="C158" s="45" t="str">
        <f t="shared" si="10"/>
        <v/>
      </c>
      <c r="D158" s="45" t="str">
        <f t="shared" si="1"/>
        <v/>
      </c>
      <c r="E158" s="45" t="str">
        <f t="shared" si="2"/>
        <v/>
      </c>
      <c r="F158" s="45" t="str">
        <f t="shared" si="3"/>
        <v/>
      </c>
      <c r="G158" s="45" t="str">
        <f t="shared" si="4"/>
        <v/>
      </c>
      <c r="H158" s="45" t="str">
        <f t="shared" si="5"/>
        <v/>
      </c>
      <c r="I158" s="45" t="str">
        <f t="shared" si="6"/>
        <v/>
      </c>
      <c r="J158" s="43"/>
    </row>
    <row r="159">
      <c r="A159" s="40" t="str">
        <f t="shared" si="8"/>
        <v/>
      </c>
      <c r="B159" s="44" t="str">
        <f t="shared" si="9"/>
        <v/>
      </c>
      <c r="C159" s="45" t="str">
        <f t="shared" si="10"/>
        <v/>
      </c>
      <c r="D159" s="45" t="str">
        <f t="shared" si="1"/>
        <v/>
      </c>
      <c r="E159" s="45" t="str">
        <f t="shared" si="2"/>
        <v/>
      </c>
      <c r="F159" s="45" t="str">
        <f t="shared" si="3"/>
        <v/>
      </c>
      <c r="G159" s="45" t="str">
        <f t="shared" si="4"/>
        <v/>
      </c>
      <c r="H159" s="45" t="str">
        <f t="shared" si="5"/>
        <v/>
      </c>
      <c r="I159" s="45" t="str">
        <f t="shared" si="6"/>
        <v/>
      </c>
      <c r="J159" s="43"/>
    </row>
    <row r="160">
      <c r="A160" s="40" t="str">
        <f t="shared" si="8"/>
        <v/>
      </c>
      <c r="B160" s="44" t="str">
        <f t="shared" si="9"/>
        <v/>
      </c>
      <c r="C160" s="45" t="str">
        <f t="shared" si="10"/>
        <v/>
      </c>
      <c r="D160" s="45" t="str">
        <f t="shared" si="1"/>
        <v/>
      </c>
      <c r="E160" s="45" t="str">
        <f t="shared" si="2"/>
        <v/>
      </c>
      <c r="F160" s="45" t="str">
        <f t="shared" si="3"/>
        <v/>
      </c>
      <c r="G160" s="45" t="str">
        <f t="shared" si="4"/>
        <v/>
      </c>
      <c r="H160" s="45" t="str">
        <f t="shared" si="5"/>
        <v/>
      </c>
      <c r="I160" s="45" t="str">
        <f t="shared" si="6"/>
        <v/>
      </c>
      <c r="J160" s="43"/>
    </row>
    <row r="161">
      <c r="A161" s="40" t="str">
        <f t="shared" si="8"/>
        <v/>
      </c>
      <c r="B161" s="44" t="str">
        <f t="shared" si="9"/>
        <v/>
      </c>
      <c r="C161" s="45" t="str">
        <f t="shared" si="10"/>
        <v/>
      </c>
      <c r="D161" s="45" t="str">
        <f t="shared" si="1"/>
        <v/>
      </c>
      <c r="E161" s="45" t="str">
        <f t="shared" si="2"/>
        <v/>
      </c>
      <c r="F161" s="45" t="str">
        <f t="shared" si="3"/>
        <v/>
      </c>
      <c r="G161" s="45" t="str">
        <f t="shared" si="4"/>
        <v/>
      </c>
      <c r="H161" s="45" t="str">
        <f t="shared" si="5"/>
        <v/>
      </c>
      <c r="I161" s="45" t="str">
        <f t="shared" si="6"/>
        <v/>
      </c>
      <c r="J161" s="43"/>
    </row>
    <row r="162">
      <c r="A162" s="40" t="str">
        <f t="shared" si="8"/>
        <v/>
      </c>
      <c r="B162" s="44" t="str">
        <f t="shared" si="9"/>
        <v/>
      </c>
      <c r="C162" s="45" t="str">
        <f t="shared" si="10"/>
        <v/>
      </c>
      <c r="D162" s="45" t="str">
        <f t="shared" si="1"/>
        <v/>
      </c>
      <c r="E162" s="45" t="str">
        <f t="shared" si="2"/>
        <v/>
      </c>
      <c r="F162" s="45" t="str">
        <f t="shared" si="3"/>
        <v/>
      </c>
      <c r="G162" s="45" t="str">
        <f t="shared" si="4"/>
        <v/>
      </c>
      <c r="H162" s="45" t="str">
        <f t="shared" si="5"/>
        <v/>
      </c>
      <c r="I162" s="45" t="str">
        <f t="shared" si="6"/>
        <v/>
      </c>
      <c r="J162" s="43"/>
    </row>
    <row r="163">
      <c r="A163" s="40" t="str">
        <f t="shared" si="8"/>
        <v/>
      </c>
      <c r="B163" s="44" t="str">
        <f t="shared" si="9"/>
        <v/>
      </c>
      <c r="C163" s="45" t="str">
        <f t="shared" si="10"/>
        <v/>
      </c>
      <c r="D163" s="45" t="str">
        <f t="shared" si="1"/>
        <v/>
      </c>
      <c r="E163" s="45" t="str">
        <f t="shared" si="2"/>
        <v/>
      </c>
      <c r="F163" s="45" t="str">
        <f t="shared" si="3"/>
        <v/>
      </c>
      <c r="G163" s="45" t="str">
        <f t="shared" si="4"/>
        <v/>
      </c>
      <c r="H163" s="45" t="str">
        <f t="shared" si="5"/>
        <v/>
      </c>
      <c r="I163" s="45" t="str">
        <f t="shared" si="6"/>
        <v/>
      </c>
      <c r="J163" s="43"/>
    </row>
    <row r="164">
      <c r="A164" s="40" t="str">
        <f t="shared" si="8"/>
        <v/>
      </c>
      <c r="B164" s="44" t="str">
        <f t="shared" si="9"/>
        <v/>
      </c>
      <c r="C164" s="45" t="str">
        <f t="shared" si="10"/>
        <v/>
      </c>
      <c r="D164" s="45" t="str">
        <f t="shared" si="1"/>
        <v/>
      </c>
      <c r="E164" s="45" t="str">
        <f t="shared" si="2"/>
        <v/>
      </c>
      <c r="F164" s="45" t="str">
        <f t="shared" si="3"/>
        <v/>
      </c>
      <c r="G164" s="45" t="str">
        <f t="shared" si="4"/>
        <v/>
      </c>
      <c r="H164" s="45" t="str">
        <f t="shared" si="5"/>
        <v/>
      </c>
      <c r="I164" s="45" t="str">
        <f t="shared" si="6"/>
        <v/>
      </c>
      <c r="J164" s="43"/>
    </row>
    <row r="165">
      <c r="A165" s="40" t="str">
        <f t="shared" si="8"/>
        <v/>
      </c>
      <c r="B165" s="44" t="str">
        <f t="shared" si="9"/>
        <v/>
      </c>
      <c r="C165" s="45" t="str">
        <f t="shared" si="10"/>
        <v/>
      </c>
      <c r="D165" s="45" t="str">
        <f t="shared" si="1"/>
        <v/>
      </c>
      <c r="E165" s="45" t="str">
        <f t="shared" si="2"/>
        <v/>
      </c>
      <c r="F165" s="45" t="str">
        <f t="shared" si="3"/>
        <v/>
      </c>
      <c r="G165" s="45" t="str">
        <f t="shared" si="4"/>
        <v/>
      </c>
      <c r="H165" s="45" t="str">
        <f t="shared" si="5"/>
        <v/>
      </c>
      <c r="I165" s="45" t="str">
        <f t="shared" si="6"/>
        <v/>
      </c>
      <c r="J165" s="43"/>
    </row>
    <row r="166">
      <c r="A166" s="40" t="str">
        <f t="shared" si="8"/>
        <v/>
      </c>
      <c r="B166" s="44" t="str">
        <f t="shared" si="9"/>
        <v/>
      </c>
      <c r="C166" s="45" t="str">
        <f t="shared" si="10"/>
        <v/>
      </c>
      <c r="D166" s="45" t="str">
        <f t="shared" si="1"/>
        <v/>
      </c>
      <c r="E166" s="45" t="str">
        <f t="shared" si="2"/>
        <v/>
      </c>
      <c r="F166" s="45" t="str">
        <f t="shared" si="3"/>
        <v/>
      </c>
      <c r="G166" s="45" t="str">
        <f t="shared" si="4"/>
        <v/>
      </c>
      <c r="H166" s="45" t="str">
        <f t="shared" si="5"/>
        <v/>
      </c>
      <c r="I166" s="45" t="str">
        <f t="shared" si="6"/>
        <v/>
      </c>
      <c r="J166" s="43"/>
    </row>
    <row r="167">
      <c r="A167" s="40" t="str">
        <f t="shared" si="8"/>
        <v/>
      </c>
      <c r="B167" s="44" t="str">
        <f t="shared" si="9"/>
        <v/>
      </c>
      <c r="C167" s="45" t="str">
        <f t="shared" si="10"/>
        <v/>
      </c>
      <c r="D167" s="45" t="str">
        <f t="shared" si="1"/>
        <v/>
      </c>
      <c r="E167" s="45" t="str">
        <f t="shared" si="2"/>
        <v/>
      </c>
      <c r="F167" s="45" t="str">
        <f t="shared" si="3"/>
        <v/>
      </c>
      <c r="G167" s="45" t="str">
        <f t="shared" si="4"/>
        <v/>
      </c>
      <c r="H167" s="45" t="str">
        <f t="shared" si="5"/>
        <v/>
      </c>
      <c r="I167" s="45" t="str">
        <f t="shared" si="6"/>
        <v/>
      </c>
      <c r="J167" s="43"/>
    </row>
    <row r="168">
      <c r="A168" s="40" t="str">
        <f t="shared" si="8"/>
        <v/>
      </c>
      <c r="B168" s="44" t="str">
        <f t="shared" si="9"/>
        <v/>
      </c>
      <c r="C168" s="45" t="str">
        <f t="shared" si="10"/>
        <v/>
      </c>
      <c r="D168" s="45" t="str">
        <f t="shared" si="1"/>
        <v/>
      </c>
      <c r="E168" s="45" t="str">
        <f t="shared" si="2"/>
        <v/>
      </c>
      <c r="F168" s="45" t="str">
        <f t="shared" si="3"/>
        <v/>
      </c>
      <c r="G168" s="45" t="str">
        <f t="shared" si="4"/>
        <v/>
      </c>
      <c r="H168" s="45" t="str">
        <f t="shared" si="5"/>
        <v/>
      </c>
      <c r="I168" s="45" t="str">
        <f t="shared" si="6"/>
        <v/>
      </c>
      <c r="J168" s="43"/>
    </row>
    <row r="169">
      <c r="A169" s="40" t="str">
        <f t="shared" si="8"/>
        <v/>
      </c>
      <c r="B169" s="44" t="str">
        <f t="shared" si="9"/>
        <v/>
      </c>
      <c r="C169" s="45" t="str">
        <f t="shared" si="10"/>
        <v/>
      </c>
      <c r="D169" s="45" t="str">
        <f t="shared" si="1"/>
        <v/>
      </c>
      <c r="E169" s="45" t="str">
        <f t="shared" si="2"/>
        <v/>
      </c>
      <c r="F169" s="45" t="str">
        <f t="shared" si="3"/>
        <v/>
      </c>
      <c r="G169" s="45" t="str">
        <f t="shared" si="4"/>
        <v/>
      </c>
      <c r="H169" s="45" t="str">
        <f t="shared" si="5"/>
        <v/>
      </c>
      <c r="I169" s="45" t="str">
        <f t="shared" si="6"/>
        <v/>
      </c>
      <c r="J169" s="43"/>
    </row>
    <row r="170">
      <c r="A170" s="40" t="str">
        <f t="shared" si="8"/>
        <v/>
      </c>
      <c r="B170" s="44" t="str">
        <f t="shared" si="9"/>
        <v/>
      </c>
      <c r="C170" s="45" t="str">
        <f t="shared" si="10"/>
        <v/>
      </c>
      <c r="D170" s="45" t="str">
        <f t="shared" si="1"/>
        <v/>
      </c>
      <c r="E170" s="45" t="str">
        <f t="shared" si="2"/>
        <v/>
      </c>
      <c r="F170" s="45" t="str">
        <f t="shared" si="3"/>
        <v/>
      </c>
      <c r="G170" s="45" t="str">
        <f t="shared" si="4"/>
        <v/>
      </c>
      <c r="H170" s="45" t="str">
        <f t="shared" si="5"/>
        <v/>
      </c>
      <c r="I170" s="45" t="str">
        <f t="shared" si="6"/>
        <v/>
      </c>
      <c r="J170" s="43"/>
    </row>
    <row r="171">
      <c r="A171" s="40" t="str">
        <f t="shared" si="8"/>
        <v/>
      </c>
      <c r="B171" s="44" t="str">
        <f t="shared" si="9"/>
        <v/>
      </c>
      <c r="C171" s="45" t="str">
        <f t="shared" si="10"/>
        <v/>
      </c>
      <c r="D171" s="45" t="str">
        <f t="shared" si="1"/>
        <v/>
      </c>
      <c r="E171" s="45" t="str">
        <f t="shared" si="2"/>
        <v/>
      </c>
      <c r="F171" s="45" t="str">
        <f t="shared" si="3"/>
        <v/>
      </c>
      <c r="G171" s="45" t="str">
        <f t="shared" si="4"/>
        <v/>
      </c>
      <c r="H171" s="45" t="str">
        <f t="shared" si="5"/>
        <v/>
      </c>
      <c r="I171" s="45" t="str">
        <f t="shared" si="6"/>
        <v/>
      </c>
      <c r="J171" s="43"/>
    </row>
    <row r="172">
      <c r="A172" s="40" t="str">
        <f t="shared" si="8"/>
        <v/>
      </c>
      <c r="B172" s="44" t="str">
        <f t="shared" si="9"/>
        <v/>
      </c>
      <c r="C172" s="45" t="str">
        <f t="shared" si="10"/>
        <v/>
      </c>
      <c r="D172" s="45" t="str">
        <f t="shared" si="1"/>
        <v/>
      </c>
      <c r="E172" s="45" t="str">
        <f t="shared" si="2"/>
        <v/>
      </c>
      <c r="F172" s="45" t="str">
        <f t="shared" si="3"/>
        <v/>
      </c>
      <c r="G172" s="45" t="str">
        <f t="shared" si="4"/>
        <v/>
      </c>
      <c r="H172" s="45" t="str">
        <f t="shared" si="5"/>
        <v/>
      </c>
      <c r="I172" s="45" t="str">
        <f t="shared" si="6"/>
        <v/>
      </c>
      <c r="J172" s="43"/>
    </row>
    <row r="173">
      <c r="A173" s="40" t="str">
        <f t="shared" si="8"/>
        <v/>
      </c>
      <c r="B173" s="44" t="str">
        <f t="shared" si="9"/>
        <v/>
      </c>
      <c r="C173" s="45" t="str">
        <f t="shared" si="10"/>
        <v/>
      </c>
      <c r="D173" s="45" t="str">
        <f t="shared" si="1"/>
        <v/>
      </c>
      <c r="E173" s="45" t="str">
        <f t="shared" si="2"/>
        <v/>
      </c>
      <c r="F173" s="45" t="str">
        <f t="shared" si="3"/>
        <v/>
      </c>
      <c r="G173" s="45" t="str">
        <f t="shared" si="4"/>
        <v/>
      </c>
      <c r="H173" s="45" t="str">
        <f t="shared" si="5"/>
        <v/>
      </c>
      <c r="I173" s="45" t="str">
        <f t="shared" si="6"/>
        <v/>
      </c>
      <c r="J173" s="43"/>
    </row>
    <row r="174">
      <c r="A174" s="40" t="str">
        <f t="shared" si="8"/>
        <v/>
      </c>
      <c r="B174" s="44" t="str">
        <f t="shared" si="9"/>
        <v/>
      </c>
      <c r="C174" s="45" t="str">
        <f t="shared" si="10"/>
        <v/>
      </c>
      <c r="D174" s="45" t="str">
        <f t="shared" si="1"/>
        <v/>
      </c>
      <c r="E174" s="45" t="str">
        <f t="shared" si="2"/>
        <v/>
      </c>
      <c r="F174" s="45" t="str">
        <f t="shared" si="3"/>
        <v/>
      </c>
      <c r="G174" s="45" t="str">
        <f t="shared" si="4"/>
        <v/>
      </c>
      <c r="H174" s="45" t="str">
        <f t="shared" si="5"/>
        <v/>
      </c>
      <c r="I174" s="45" t="str">
        <f t="shared" si="6"/>
        <v/>
      </c>
      <c r="J174" s="43"/>
    </row>
    <row r="175">
      <c r="A175" s="40" t="str">
        <f t="shared" si="8"/>
        <v/>
      </c>
      <c r="B175" s="44" t="str">
        <f t="shared" si="9"/>
        <v/>
      </c>
      <c r="C175" s="45" t="str">
        <f t="shared" si="10"/>
        <v/>
      </c>
      <c r="D175" s="45" t="str">
        <f t="shared" si="1"/>
        <v/>
      </c>
      <c r="E175" s="45" t="str">
        <f t="shared" si="2"/>
        <v/>
      </c>
      <c r="F175" s="45" t="str">
        <f t="shared" si="3"/>
        <v/>
      </c>
      <c r="G175" s="45" t="str">
        <f t="shared" si="4"/>
        <v/>
      </c>
      <c r="H175" s="45" t="str">
        <f t="shared" si="5"/>
        <v/>
      </c>
      <c r="I175" s="45" t="str">
        <f t="shared" si="6"/>
        <v/>
      </c>
      <c r="J175" s="43"/>
    </row>
    <row r="176">
      <c r="A176" s="40" t="str">
        <f t="shared" si="8"/>
        <v/>
      </c>
      <c r="B176" s="44" t="str">
        <f t="shared" si="9"/>
        <v/>
      </c>
      <c r="C176" s="45" t="str">
        <f t="shared" si="10"/>
        <v/>
      </c>
      <c r="D176" s="45" t="str">
        <f t="shared" si="1"/>
        <v/>
      </c>
      <c r="E176" s="45" t="str">
        <f t="shared" si="2"/>
        <v/>
      </c>
      <c r="F176" s="45" t="str">
        <f t="shared" si="3"/>
        <v/>
      </c>
      <c r="G176" s="45" t="str">
        <f t="shared" si="4"/>
        <v/>
      </c>
      <c r="H176" s="45" t="str">
        <f t="shared" si="5"/>
        <v/>
      </c>
      <c r="I176" s="45" t="str">
        <f t="shared" si="6"/>
        <v/>
      </c>
      <c r="J176" s="43"/>
    </row>
    <row r="177">
      <c r="A177" s="40" t="str">
        <f t="shared" si="8"/>
        <v/>
      </c>
      <c r="B177" s="44" t="str">
        <f t="shared" si="9"/>
        <v/>
      </c>
      <c r="C177" s="45" t="str">
        <f t="shared" si="10"/>
        <v/>
      </c>
      <c r="D177" s="45" t="str">
        <f t="shared" si="1"/>
        <v/>
      </c>
      <c r="E177" s="45" t="str">
        <f t="shared" si="2"/>
        <v/>
      </c>
      <c r="F177" s="45" t="str">
        <f t="shared" si="3"/>
        <v/>
      </c>
      <c r="G177" s="45" t="str">
        <f t="shared" si="4"/>
        <v/>
      </c>
      <c r="H177" s="45" t="str">
        <f t="shared" si="5"/>
        <v/>
      </c>
      <c r="I177" s="45" t="str">
        <f t="shared" si="6"/>
        <v/>
      </c>
      <c r="J177" s="43"/>
    </row>
    <row r="178">
      <c r="A178" s="40" t="str">
        <f t="shared" si="8"/>
        <v/>
      </c>
      <c r="B178" s="44" t="str">
        <f t="shared" si="9"/>
        <v/>
      </c>
      <c r="C178" s="45" t="str">
        <f t="shared" si="10"/>
        <v/>
      </c>
      <c r="D178" s="45" t="str">
        <f t="shared" si="1"/>
        <v/>
      </c>
      <c r="E178" s="45" t="str">
        <f t="shared" si="2"/>
        <v/>
      </c>
      <c r="F178" s="45" t="str">
        <f t="shared" si="3"/>
        <v/>
      </c>
      <c r="G178" s="45" t="str">
        <f t="shared" si="4"/>
        <v/>
      </c>
      <c r="H178" s="45" t="str">
        <f t="shared" si="5"/>
        <v/>
      </c>
      <c r="I178" s="45" t="str">
        <f t="shared" si="6"/>
        <v/>
      </c>
      <c r="J178" s="43"/>
    </row>
    <row r="179">
      <c r="A179" s="40" t="str">
        <f t="shared" si="8"/>
        <v/>
      </c>
      <c r="B179" s="44" t="str">
        <f t="shared" si="9"/>
        <v/>
      </c>
      <c r="C179" s="45" t="str">
        <f t="shared" si="10"/>
        <v/>
      </c>
      <c r="D179" s="45" t="str">
        <f t="shared" si="1"/>
        <v/>
      </c>
      <c r="E179" s="45" t="str">
        <f t="shared" si="2"/>
        <v/>
      </c>
      <c r="F179" s="45" t="str">
        <f t="shared" si="3"/>
        <v/>
      </c>
      <c r="G179" s="45" t="str">
        <f t="shared" si="4"/>
        <v/>
      </c>
      <c r="H179" s="45" t="str">
        <f t="shared" si="5"/>
        <v/>
      </c>
      <c r="I179" s="45" t="str">
        <f t="shared" si="6"/>
        <v/>
      </c>
      <c r="J179" s="43"/>
    </row>
    <row r="180">
      <c r="A180" s="40" t="str">
        <f t="shared" si="8"/>
        <v/>
      </c>
      <c r="B180" s="44" t="str">
        <f t="shared" si="9"/>
        <v/>
      </c>
      <c r="C180" s="45" t="str">
        <f t="shared" si="10"/>
        <v/>
      </c>
      <c r="D180" s="45" t="str">
        <f t="shared" si="1"/>
        <v/>
      </c>
      <c r="E180" s="45" t="str">
        <f t="shared" si="2"/>
        <v/>
      </c>
      <c r="F180" s="45" t="str">
        <f t="shared" si="3"/>
        <v/>
      </c>
      <c r="G180" s="45" t="str">
        <f t="shared" si="4"/>
        <v/>
      </c>
      <c r="H180" s="45" t="str">
        <f t="shared" si="5"/>
        <v/>
      </c>
      <c r="I180" s="45" t="str">
        <f t="shared" si="6"/>
        <v/>
      </c>
      <c r="J180" s="43"/>
    </row>
    <row r="181">
      <c r="A181" s="40" t="str">
        <f t="shared" si="8"/>
        <v/>
      </c>
      <c r="B181" s="44" t="str">
        <f t="shared" si="9"/>
        <v/>
      </c>
      <c r="C181" s="45" t="str">
        <f t="shared" si="10"/>
        <v/>
      </c>
      <c r="D181" s="45" t="str">
        <f t="shared" si="1"/>
        <v/>
      </c>
      <c r="E181" s="45" t="str">
        <f t="shared" si="2"/>
        <v/>
      </c>
      <c r="F181" s="45" t="str">
        <f t="shared" si="3"/>
        <v/>
      </c>
      <c r="G181" s="45" t="str">
        <f t="shared" si="4"/>
        <v/>
      </c>
      <c r="H181" s="45" t="str">
        <f t="shared" si="5"/>
        <v/>
      </c>
      <c r="I181" s="45" t="str">
        <f t="shared" si="6"/>
        <v/>
      </c>
      <c r="J181" s="43"/>
    </row>
    <row r="182">
      <c r="A182" s="40" t="str">
        <f t="shared" si="8"/>
        <v/>
      </c>
      <c r="B182" s="44" t="str">
        <f t="shared" si="9"/>
        <v/>
      </c>
      <c r="C182" s="45" t="str">
        <f t="shared" si="10"/>
        <v/>
      </c>
      <c r="D182" s="45" t="str">
        <f t="shared" si="1"/>
        <v/>
      </c>
      <c r="E182" s="45" t="str">
        <f t="shared" si="2"/>
        <v/>
      </c>
      <c r="F182" s="45" t="str">
        <f t="shared" si="3"/>
        <v/>
      </c>
      <c r="G182" s="45" t="str">
        <f t="shared" si="4"/>
        <v/>
      </c>
      <c r="H182" s="45" t="str">
        <f t="shared" si="5"/>
        <v/>
      </c>
      <c r="I182" s="45" t="str">
        <f t="shared" si="6"/>
        <v/>
      </c>
      <c r="J182" s="43"/>
    </row>
    <row r="183">
      <c r="A183" s="40" t="str">
        <f t="shared" si="8"/>
        <v/>
      </c>
      <c r="B183" s="44" t="str">
        <f t="shared" si="9"/>
        <v/>
      </c>
      <c r="C183" s="45" t="str">
        <f t="shared" si="10"/>
        <v/>
      </c>
      <c r="D183" s="45" t="str">
        <f t="shared" si="1"/>
        <v/>
      </c>
      <c r="E183" s="45" t="str">
        <f t="shared" si="2"/>
        <v/>
      </c>
      <c r="F183" s="45" t="str">
        <f t="shared" si="3"/>
        <v/>
      </c>
      <c r="G183" s="45" t="str">
        <f t="shared" si="4"/>
        <v/>
      </c>
      <c r="H183" s="45" t="str">
        <f t="shared" si="5"/>
        <v/>
      </c>
      <c r="I183" s="45" t="str">
        <f t="shared" si="6"/>
        <v/>
      </c>
      <c r="J183" s="43"/>
    </row>
    <row r="184">
      <c r="A184" s="40" t="str">
        <f t="shared" si="8"/>
        <v/>
      </c>
      <c r="B184" s="44" t="str">
        <f t="shared" si="9"/>
        <v/>
      </c>
      <c r="C184" s="45" t="str">
        <f t="shared" si="10"/>
        <v/>
      </c>
      <c r="D184" s="45" t="str">
        <f t="shared" si="1"/>
        <v/>
      </c>
      <c r="E184" s="45" t="str">
        <f t="shared" si="2"/>
        <v/>
      </c>
      <c r="F184" s="45" t="str">
        <f t="shared" si="3"/>
        <v/>
      </c>
      <c r="G184" s="45" t="str">
        <f t="shared" si="4"/>
        <v/>
      </c>
      <c r="H184" s="45" t="str">
        <f t="shared" si="5"/>
        <v/>
      </c>
      <c r="I184" s="45" t="str">
        <f t="shared" si="6"/>
        <v/>
      </c>
      <c r="J184" s="43"/>
    </row>
    <row r="185">
      <c r="A185" s="40" t="str">
        <f t="shared" si="8"/>
        <v/>
      </c>
      <c r="B185" s="44" t="str">
        <f t="shared" si="9"/>
        <v/>
      </c>
      <c r="C185" s="45" t="str">
        <f t="shared" si="10"/>
        <v/>
      </c>
      <c r="D185" s="45" t="str">
        <f t="shared" si="1"/>
        <v/>
      </c>
      <c r="E185" s="45" t="str">
        <f t="shared" si="2"/>
        <v/>
      </c>
      <c r="F185" s="45" t="str">
        <f t="shared" si="3"/>
        <v/>
      </c>
      <c r="G185" s="45" t="str">
        <f t="shared" si="4"/>
        <v/>
      </c>
      <c r="H185" s="45" t="str">
        <f t="shared" si="5"/>
        <v/>
      </c>
      <c r="I185" s="45" t="str">
        <f t="shared" si="6"/>
        <v/>
      </c>
      <c r="J185" s="43"/>
    </row>
    <row r="186">
      <c r="A186" s="40" t="str">
        <f t="shared" si="8"/>
        <v/>
      </c>
      <c r="B186" s="44" t="str">
        <f t="shared" si="9"/>
        <v/>
      </c>
      <c r="C186" s="45" t="str">
        <f t="shared" si="10"/>
        <v/>
      </c>
      <c r="D186" s="45" t="str">
        <f t="shared" si="1"/>
        <v/>
      </c>
      <c r="E186" s="45" t="str">
        <f t="shared" si="2"/>
        <v/>
      </c>
      <c r="F186" s="45" t="str">
        <f t="shared" si="3"/>
        <v/>
      </c>
      <c r="G186" s="45" t="str">
        <f t="shared" si="4"/>
        <v/>
      </c>
      <c r="H186" s="45" t="str">
        <f t="shared" si="5"/>
        <v/>
      </c>
      <c r="I186" s="45" t="str">
        <f t="shared" si="6"/>
        <v/>
      </c>
      <c r="J186" s="43"/>
    </row>
    <row r="187">
      <c r="A187" s="40" t="str">
        <f t="shared" si="8"/>
        <v/>
      </c>
      <c r="B187" s="44" t="str">
        <f t="shared" si="9"/>
        <v/>
      </c>
      <c r="C187" s="45" t="str">
        <f t="shared" si="10"/>
        <v/>
      </c>
      <c r="D187" s="45" t="str">
        <f t="shared" si="1"/>
        <v/>
      </c>
      <c r="E187" s="45" t="str">
        <f t="shared" si="2"/>
        <v/>
      </c>
      <c r="F187" s="45" t="str">
        <f t="shared" si="3"/>
        <v/>
      </c>
      <c r="G187" s="45" t="str">
        <f t="shared" si="4"/>
        <v/>
      </c>
      <c r="H187" s="45" t="str">
        <f t="shared" si="5"/>
        <v/>
      </c>
      <c r="I187" s="45" t="str">
        <f t="shared" si="6"/>
        <v/>
      </c>
      <c r="J187" s="43"/>
    </row>
    <row r="188">
      <c r="A188" s="40" t="str">
        <f t="shared" si="8"/>
        <v/>
      </c>
      <c r="B188" s="44" t="str">
        <f t="shared" si="9"/>
        <v/>
      </c>
      <c r="C188" s="45" t="str">
        <f t="shared" si="10"/>
        <v/>
      </c>
      <c r="D188" s="45" t="str">
        <f t="shared" si="1"/>
        <v/>
      </c>
      <c r="E188" s="45" t="str">
        <f t="shared" si="2"/>
        <v/>
      </c>
      <c r="F188" s="45" t="str">
        <f t="shared" si="3"/>
        <v/>
      </c>
      <c r="G188" s="45" t="str">
        <f t="shared" si="4"/>
        <v/>
      </c>
      <c r="H188" s="45" t="str">
        <f t="shared" si="5"/>
        <v/>
      </c>
      <c r="I188" s="45" t="str">
        <f t="shared" si="6"/>
        <v/>
      </c>
      <c r="J188" s="43"/>
    </row>
    <row r="189">
      <c r="A189" s="40" t="str">
        <f t="shared" si="8"/>
        <v/>
      </c>
      <c r="B189" s="44" t="str">
        <f t="shared" si="9"/>
        <v/>
      </c>
      <c r="C189" s="45" t="str">
        <f t="shared" si="10"/>
        <v/>
      </c>
      <c r="D189" s="45" t="str">
        <f t="shared" si="1"/>
        <v/>
      </c>
      <c r="E189" s="45" t="str">
        <f t="shared" si="2"/>
        <v/>
      </c>
      <c r="F189" s="45" t="str">
        <f t="shared" si="3"/>
        <v/>
      </c>
      <c r="G189" s="45" t="str">
        <f t="shared" si="4"/>
        <v/>
      </c>
      <c r="H189" s="45" t="str">
        <f t="shared" si="5"/>
        <v/>
      </c>
      <c r="I189" s="45" t="str">
        <f t="shared" si="6"/>
        <v/>
      </c>
      <c r="J189" s="43"/>
    </row>
    <row r="190">
      <c r="A190" s="40" t="str">
        <f t="shared" si="8"/>
        <v/>
      </c>
      <c r="B190" s="44" t="str">
        <f t="shared" si="9"/>
        <v/>
      </c>
      <c r="C190" s="45" t="str">
        <f t="shared" si="10"/>
        <v/>
      </c>
      <c r="D190" s="45" t="str">
        <f t="shared" si="1"/>
        <v/>
      </c>
      <c r="E190" s="45" t="str">
        <f t="shared" si="2"/>
        <v/>
      </c>
      <c r="F190" s="45" t="str">
        <f t="shared" si="3"/>
        <v/>
      </c>
      <c r="G190" s="45" t="str">
        <f t="shared" si="4"/>
        <v/>
      </c>
      <c r="H190" s="45" t="str">
        <f t="shared" si="5"/>
        <v/>
      </c>
      <c r="I190" s="45" t="str">
        <f t="shared" si="6"/>
        <v/>
      </c>
      <c r="J190" s="43"/>
    </row>
    <row r="191">
      <c r="A191" s="40" t="str">
        <f t="shared" si="8"/>
        <v/>
      </c>
      <c r="B191" s="44" t="str">
        <f t="shared" si="9"/>
        <v/>
      </c>
      <c r="C191" s="45" t="str">
        <f t="shared" si="10"/>
        <v/>
      </c>
      <c r="D191" s="45" t="str">
        <f t="shared" si="1"/>
        <v/>
      </c>
      <c r="E191" s="45" t="str">
        <f t="shared" si="2"/>
        <v/>
      </c>
      <c r="F191" s="45" t="str">
        <f t="shared" si="3"/>
        <v/>
      </c>
      <c r="G191" s="45" t="str">
        <f t="shared" si="4"/>
        <v/>
      </c>
      <c r="H191" s="45" t="str">
        <f t="shared" si="5"/>
        <v/>
      </c>
      <c r="I191" s="45" t="str">
        <f t="shared" si="6"/>
        <v/>
      </c>
      <c r="J191" s="43"/>
    </row>
    <row r="192">
      <c r="A192" s="40" t="str">
        <f t="shared" si="8"/>
        <v/>
      </c>
      <c r="B192" s="44" t="str">
        <f t="shared" si="9"/>
        <v/>
      </c>
      <c r="C192" s="45" t="str">
        <f t="shared" si="10"/>
        <v/>
      </c>
      <c r="D192" s="45" t="str">
        <f t="shared" si="1"/>
        <v/>
      </c>
      <c r="E192" s="45" t="str">
        <f t="shared" si="2"/>
        <v/>
      </c>
      <c r="F192" s="45" t="str">
        <f t="shared" si="3"/>
        <v/>
      </c>
      <c r="G192" s="45" t="str">
        <f t="shared" si="4"/>
        <v/>
      </c>
      <c r="H192" s="45" t="str">
        <f t="shared" si="5"/>
        <v/>
      </c>
      <c r="I192" s="45" t="str">
        <f t="shared" si="6"/>
        <v/>
      </c>
      <c r="J192" s="43"/>
    </row>
    <row r="193">
      <c r="A193" s="40" t="str">
        <f t="shared" si="8"/>
        <v/>
      </c>
      <c r="B193" s="44" t="str">
        <f t="shared" si="9"/>
        <v/>
      </c>
      <c r="C193" s="45" t="str">
        <f t="shared" si="10"/>
        <v/>
      </c>
      <c r="D193" s="45" t="str">
        <f t="shared" si="1"/>
        <v/>
      </c>
      <c r="E193" s="45" t="str">
        <f t="shared" si="2"/>
        <v/>
      </c>
      <c r="F193" s="45" t="str">
        <f t="shared" si="3"/>
        <v/>
      </c>
      <c r="G193" s="45" t="str">
        <f t="shared" si="4"/>
        <v/>
      </c>
      <c r="H193" s="45" t="str">
        <f t="shared" si="5"/>
        <v/>
      </c>
      <c r="I193" s="45" t="str">
        <f t="shared" si="6"/>
        <v/>
      </c>
      <c r="J193" s="43"/>
    </row>
    <row r="194">
      <c r="A194" s="40" t="str">
        <f t="shared" si="8"/>
        <v/>
      </c>
      <c r="B194" s="44" t="str">
        <f t="shared" si="9"/>
        <v/>
      </c>
      <c r="C194" s="45" t="str">
        <f t="shared" si="10"/>
        <v/>
      </c>
      <c r="D194" s="45" t="str">
        <f t="shared" si="1"/>
        <v/>
      </c>
      <c r="E194" s="45" t="str">
        <f t="shared" si="2"/>
        <v/>
      </c>
      <c r="F194" s="45" t="str">
        <f t="shared" si="3"/>
        <v/>
      </c>
      <c r="G194" s="45" t="str">
        <f t="shared" si="4"/>
        <v/>
      </c>
      <c r="H194" s="45" t="str">
        <f t="shared" si="5"/>
        <v/>
      </c>
      <c r="I194" s="45" t="str">
        <f t="shared" si="6"/>
        <v/>
      </c>
      <c r="J194" s="43"/>
    </row>
    <row r="195">
      <c r="A195" s="40" t="str">
        <f t="shared" si="8"/>
        <v/>
      </c>
      <c r="B195" s="44" t="str">
        <f t="shared" si="9"/>
        <v/>
      </c>
      <c r="C195" s="45" t="str">
        <f t="shared" si="10"/>
        <v/>
      </c>
      <c r="D195" s="45" t="str">
        <f t="shared" si="1"/>
        <v/>
      </c>
      <c r="E195" s="45" t="str">
        <f t="shared" si="2"/>
        <v/>
      </c>
      <c r="F195" s="45" t="str">
        <f t="shared" si="3"/>
        <v/>
      </c>
      <c r="G195" s="45" t="str">
        <f t="shared" si="4"/>
        <v/>
      </c>
      <c r="H195" s="45" t="str">
        <f t="shared" si="5"/>
        <v/>
      </c>
      <c r="I195" s="45" t="str">
        <f t="shared" si="6"/>
        <v/>
      </c>
      <c r="J195" s="43"/>
    </row>
    <row r="196">
      <c r="A196" s="40" t="str">
        <f t="shared" si="8"/>
        <v/>
      </c>
      <c r="B196" s="44" t="str">
        <f t="shared" si="9"/>
        <v/>
      </c>
      <c r="C196" s="45" t="str">
        <f t="shared" si="10"/>
        <v/>
      </c>
      <c r="D196" s="45" t="str">
        <f t="shared" si="1"/>
        <v/>
      </c>
      <c r="E196" s="45" t="str">
        <f t="shared" si="2"/>
        <v/>
      </c>
      <c r="F196" s="45" t="str">
        <f t="shared" si="3"/>
        <v/>
      </c>
      <c r="G196" s="45" t="str">
        <f t="shared" si="4"/>
        <v/>
      </c>
      <c r="H196" s="45" t="str">
        <f t="shared" si="5"/>
        <v/>
      </c>
      <c r="I196" s="45" t="str">
        <f t="shared" si="6"/>
        <v/>
      </c>
      <c r="J196" s="43"/>
    </row>
    <row r="197">
      <c r="A197" s="40" t="str">
        <f t="shared" si="8"/>
        <v/>
      </c>
      <c r="B197" s="44" t="str">
        <f t="shared" si="9"/>
        <v/>
      </c>
      <c r="C197" s="45" t="str">
        <f t="shared" si="10"/>
        <v/>
      </c>
      <c r="D197" s="45" t="str">
        <f t="shared" si="1"/>
        <v/>
      </c>
      <c r="E197" s="45" t="str">
        <f t="shared" si="2"/>
        <v/>
      </c>
      <c r="F197" s="45" t="str">
        <f t="shared" si="3"/>
        <v/>
      </c>
      <c r="G197" s="45" t="str">
        <f t="shared" si="4"/>
        <v/>
      </c>
      <c r="H197" s="45" t="str">
        <f t="shared" si="5"/>
        <v/>
      </c>
      <c r="I197" s="45" t="str">
        <f t="shared" si="6"/>
        <v/>
      </c>
      <c r="J197" s="43"/>
    </row>
    <row r="198">
      <c r="A198" s="40" t="str">
        <f t="shared" si="8"/>
        <v/>
      </c>
      <c r="B198" s="44" t="str">
        <f t="shared" si="9"/>
        <v/>
      </c>
      <c r="C198" s="45" t="str">
        <f t="shared" si="10"/>
        <v/>
      </c>
      <c r="D198" s="45" t="str">
        <f t="shared" si="1"/>
        <v/>
      </c>
      <c r="E198" s="45" t="str">
        <f t="shared" si="2"/>
        <v/>
      </c>
      <c r="F198" s="45" t="str">
        <f t="shared" si="3"/>
        <v/>
      </c>
      <c r="G198" s="45" t="str">
        <f t="shared" si="4"/>
        <v/>
      </c>
      <c r="H198" s="45" t="str">
        <f t="shared" si="5"/>
        <v/>
      </c>
      <c r="I198" s="45" t="str">
        <f t="shared" si="6"/>
        <v/>
      </c>
      <c r="J198" s="43"/>
    </row>
    <row r="199">
      <c r="A199" s="40" t="str">
        <f t="shared" si="8"/>
        <v/>
      </c>
      <c r="B199" s="44" t="str">
        <f t="shared" si="9"/>
        <v/>
      </c>
      <c r="C199" s="45" t="str">
        <f t="shared" si="10"/>
        <v/>
      </c>
      <c r="D199" s="45" t="str">
        <f t="shared" si="1"/>
        <v/>
      </c>
      <c r="E199" s="45" t="str">
        <f t="shared" si="2"/>
        <v/>
      </c>
      <c r="F199" s="45" t="str">
        <f t="shared" si="3"/>
        <v/>
      </c>
      <c r="G199" s="45" t="str">
        <f t="shared" si="4"/>
        <v/>
      </c>
      <c r="H199" s="45" t="str">
        <f t="shared" si="5"/>
        <v/>
      </c>
      <c r="I199" s="45" t="str">
        <f t="shared" si="6"/>
        <v/>
      </c>
      <c r="J199" s="43"/>
    </row>
    <row r="200">
      <c r="A200" s="40" t="str">
        <f t="shared" si="8"/>
        <v/>
      </c>
      <c r="B200" s="44" t="str">
        <f t="shared" si="9"/>
        <v/>
      </c>
      <c r="C200" s="45" t="str">
        <f t="shared" si="10"/>
        <v/>
      </c>
      <c r="D200" s="45" t="str">
        <f t="shared" si="1"/>
        <v/>
      </c>
      <c r="E200" s="45" t="str">
        <f t="shared" si="2"/>
        <v/>
      </c>
      <c r="F200" s="45" t="str">
        <f t="shared" si="3"/>
        <v/>
      </c>
      <c r="G200" s="45" t="str">
        <f t="shared" si="4"/>
        <v/>
      </c>
      <c r="H200" s="45" t="str">
        <f t="shared" si="5"/>
        <v/>
      </c>
      <c r="I200" s="45" t="str">
        <f t="shared" si="6"/>
        <v/>
      </c>
      <c r="J200" s="43"/>
    </row>
    <row r="201">
      <c r="A201" s="40" t="str">
        <f t="shared" si="8"/>
        <v/>
      </c>
      <c r="B201" s="44" t="str">
        <f t="shared" si="9"/>
        <v/>
      </c>
      <c r="C201" s="45" t="str">
        <f t="shared" si="10"/>
        <v/>
      </c>
      <c r="D201" s="45" t="str">
        <f t="shared" si="1"/>
        <v/>
      </c>
      <c r="E201" s="45" t="str">
        <f t="shared" si="2"/>
        <v/>
      </c>
      <c r="F201" s="45" t="str">
        <f t="shared" si="3"/>
        <v/>
      </c>
      <c r="G201" s="45" t="str">
        <f t="shared" si="4"/>
        <v/>
      </c>
      <c r="H201" s="45" t="str">
        <f t="shared" si="5"/>
        <v/>
      </c>
      <c r="I201" s="45" t="str">
        <f t="shared" si="6"/>
        <v/>
      </c>
      <c r="J201" s="43"/>
    </row>
    <row r="202">
      <c r="A202" s="40" t="str">
        <f t="shared" si="8"/>
        <v/>
      </c>
      <c r="B202" s="44" t="str">
        <f t="shared" si="9"/>
        <v/>
      </c>
      <c r="C202" s="45" t="str">
        <f t="shared" si="10"/>
        <v/>
      </c>
      <c r="D202" s="45" t="str">
        <f t="shared" si="1"/>
        <v/>
      </c>
      <c r="E202" s="45" t="str">
        <f t="shared" si="2"/>
        <v/>
      </c>
      <c r="F202" s="45" t="str">
        <f t="shared" si="3"/>
        <v/>
      </c>
      <c r="G202" s="45" t="str">
        <f t="shared" si="4"/>
        <v/>
      </c>
      <c r="H202" s="45" t="str">
        <f t="shared" si="5"/>
        <v/>
      </c>
      <c r="I202" s="45" t="str">
        <f t="shared" si="6"/>
        <v/>
      </c>
      <c r="J202" s="43"/>
    </row>
    <row r="203">
      <c r="A203" s="40" t="str">
        <f t="shared" si="8"/>
        <v/>
      </c>
      <c r="B203" s="44" t="str">
        <f t="shared" si="9"/>
        <v/>
      </c>
      <c r="C203" s="45" t="str">
        <f t="shared" si="10"/>
        <v/>
      </c>
      <c r="D203" s="45" t="str">
        <f t="shared" si="1"/>
        <v/>
      </c>
      <c r="E203" s="45" t="str">
        <f t="shared" si="2"/>
        <v/>
      </c>
      <c r="F203" s="45" t="str">
        <f t="shared" si="3"/>
        <v/>
      </c>
      <c r="G203" s="45" t="str">
        <f t="shared" si="4"/>
        <v/>
      </c>
      <c r="H203" s="45" t="str">
        <f t="shared" si="5"/>
        <v/>
      </c>
      <c r="I203" s="45" t="str">
        <f t="shared" si="6"/>
        <v/>
      </c>
      <c r="J203" s="43"/>
    </row>
    <row r="204">
      <c r="A204" s="40" t="str">
        <f t="shared" si="8"/>
        <v/>
      </c>
      <c r="B204" s="44" t="str">
        <f t="shared" si="9"/>
        <v/>
      </c>
      <c r="C204" s="45" t="str">
        <f t="shared" si="10"/>
        <v/>
      </c>
      <c r="D204" s="45" t="str">
        <f t="shared" si="1"/>
        <v/>
      </c>
      <c r="E204" s="45" t="str">
        <f t="shared" si="2"/>
        <v/>
      </c>
      <c r="F204" s="45" t="str">
        <f t="shared" si="3"/>
        <v/>
      </c>
      <c r="G204" s="45" t="str">
        <f t="shared" si="4"/>
        <v/>
      </c>
      <c r="H204" s="45" t="str">
        <f t="shared" si="5"/>
        <v/>
      </c>
      <c r="I204" s="45" t="str">
        <f t="shared" si="6"/>
        <v/>
      </c>
      <c r="J204" s="43"/>
    </row>
    <row r="205">
      <c r="A205" s="40" t="str">
        <f t="shared" si="8"/>
        <v/>
      </c>
      <c r="B205" s="44" t="str">
        <f t="shared" si="9"/>
        <v/>
      </c>
      <c r="C205" s="45" t="str">
        <f t="shared" si="10"/>
        <v/>
      </c>
      <c r="D205" s="45" t="str">
        <f t="shared" si="1"/>
        <v/>
      </c>
      <c r="E205" s="45" t="str">
        <f t="shared" si="2"/>
        <v/>
      </c>
      <c r="F205" s="45" t="str">
        <f t="shared" si="3"/>
        <v/>
      </c>
      <c r="G205" s="45" t="str">
        <f t="shared" si="4"/>
        <v/>
      </c>
      <c r="H205" s="45" t="str">
        <f t="shared" si="5"/>
        <v/>
      </c>
      <c r="I205" s="45" t="str">
        <f t="shared" si="6"/>
        <v/>
      </c>
      <c r="J205" s="43"/>
    </row>
    <row r="206">
      <c r="A206" s="40" t="str">
        <f t="shared" si="8"/>
        <v/>
      </c>
      <c r="B206" s="44" t="str">
        <f t="shared" si="9"/>
        <v/>
      </c>
      <c r="C206" s="45" t="str">
        <f t="shared" si="10"/>
        <v/>
      </c>
      <c r="D206" s="45" t="str">
        <f t="shared" si="1"/>
        <v/>
      </c>
      <c r="E206" s="45" t="str">
        <f t="shared" si="2"/>
        <v/>
      </c>
      <c r="F206" s="45" t="str">
        <f t="shared" si="3"/>
        <v/>
      </c>
      <c r="G206" s="45" t="str">
        <f t="shared" si="4"/>
        <v/>
      </c>
      <c r="H206" s="45" t="str">
        <f t="shared" si="5"/>
        <v/>
      </c>
      <c r="I206" s="45" t="str">
        <f t="shared" si="6"/>
        <v/>
      </c>
      <c r="J206" s="43"/>
    </row>
    <row r="207">
      <c r="A207" s="40" t="str">
        <f t="shared" si="8"/>
        <v/>
      </c>
      <c r="B207" s="44" t="str">
        <f t="shared" si="9"/>
        <v/>
      </c>
      <c r="C207" s="45" t="str">
        <f t="shared" si="10"/>
        <v/>
      </c>
      <c r="D207" s="45" t="str">
        <f t="shared" si="1"/>
        <v/>
      </c>
      <c r="E207" s="45" t="str">
        <f t="shared" si="2"/>
        <v/>
      </c>
      <c r="F207" s="45" t="str">
        <f t="shared" si="3"/>
        <v/>
      </c>
      <c r="G207" s="45" t="str">
        <f t="shared" si="4"/>
        <v/>
      </c>
      <c r="H207" s="45" t="str">
        <f t="shared" si="5"/>
        <v/>
      </c>
      <c r="I207" s="45" t="str">
        <f t="shared" si="6"/>
        <v/>
      </c>
      <c r="J207" s="43"/>
    </row>
    <row r="208">
      <c r="A208" s="40" t="str">
        <f t="shared" si="8"/>
        <v/>
      </c>
      <c r="B208" s="44" t="str">
        <f t="shared" si="9"/>
        <v/>
      </c>
      <c r="C208" s="45" t="str">
        <f t="shared" si="10"/>
        <v/>
      </c>
      <c r="D208" s="45" t="str">
        <f t="shared" si="1"/>
        <v/>
      </c>
      <c r="E208" s="45" t="str">
        <f t="shared" si="2"/>
        <v/>
      </c>
      <c r="F208" s="45" t="str">
        <f t="shared" si="3"/>
        <v/>
      </c>
      <c r="G208" s="45" t="str">
        <f t="shared" si="4"/>
        <v/>
      </c>
      <c r="H208" s="45" t="str">
        <f t="shared" si="5"/>
        <v/>
      </c>
      <c r="I208" s="45" t="str">
        <f t="shared" si="6"/>
        <v/>
      </c>
      <c r="J208" s="43"/>
    </row>
    <row r="209">
      <c r="A209" s="40" t="str">
        <f t="shared" si="8"/>
        <v/>
      </c>
      <c r="B209" s="44" t="str">
        <f t="shared" si="9"/>
        <v/>
      </c>
      <c r="C209" s="45" t="str">
        <f t="shared" si="10"/>
        <v/>
      </c>
      <c r="D209" s="45" t="str">
        <f t="shared" si="1"/>
        <v/>
      </c>
      <c r="E209" s="45" t="str">
        <f t="shared" si="2"/>
        <v/>
      </c>
      <c r="F209" s="45" t="str">
        <f t="shared" si="3"/>
        <v/>
      </c>
      <c r="G209" s="45" t="str">
        <f t="shared" si="4"/>
        <v/>
      </c>
      <c r="H209" s="45" t="str">
        <f t="shared" si="5"/>
        <v/>
      </c>
      <c r="I209" s="45" t="str">
        <f t="shared" si="6"/>
        <v/>
      </c>
      <c r="J209" s="43"/>
    </row>
    <row r="210">
      <c r="A210" s="40" t="str">
        <f t="shared" si="8"/>
        <v/>
      </c>
      <c r="B210" s="44" t="str">
        <f t="shared" si="9"/>
        <v/>
      </c>
      <c r="C210" s="45" t="str">
        <f t="shared" si="10"/>
        <v/>
      </c>
      <c r="D210" s="45" t="str">
        <f t="shared" si="1"/>
        <v/>
      </c>
      <c r="E210" s="45" t="str">
        <f t="shared" si="2"/>
        <v/>
      </c>
      <c r="F210" s="45" t="str">
        <f t="shared" si="3"/>
        <v/>
      </c>
      <c r="G210" s="45" t="str">
        <f t="shared" si="4"/>
        <v/>
      </c>
      <c r="H210" s="45" t="str">
        <f t="shared" si="5"/>
        <v/>
      </c>
      <c r="I210" s="45" t="str">
        <f t="shared" si="6"/>
        <v/>
      </c>
      <c r="J210" s="43"/>
    </row>
    <row r="211">
      <c r="A211" s="40" t="str">
        <f t="shared" si="8"/>
        <v/>
      </c>
      <c r="B211" s="44" t="str">
        <f t="shared" si="9"/>
        <v/>
      </c>
      <c r="C211" s="45" t="str">
        <f t="shared" si="10"/>
        <v/>
      </c>
      <c r="D211" s="45" t="str">
        <f t="shared" si="1"/>
        <v/>
      </c>
      <c r="E211" s="45" t="str">
        <f t="shared" si="2"/>
        <v/>
      </c>
      <c r="F211" s="45" t="str">
        <f t="shared" si="3"/>
        <v/>
      </c>
      <c r="G211" s="45" t="str">
        <f t="shared" si="4"/>
        <v/>
      </c>
      <c r="H211" s="45" t="str">
        <f t="shared" si="5"/>
        <v/>
      </c>
      <c r="I211" s="45" t="str">
        <f t="shared" si="6"/>
        <v/>
      </c>
      <c r="J211" s="43"/>
    </row>
    <row r="212">
      <c r="A212" s="40" t="str">
        <f t="shared" si="8"/>
        <v/>
      </c>
      <c r="B212" s="44" t="str">
        <f t="shared" si="9"/>
        <v/>
      </c>
      <c r="C212" s="45" t="str">
        <f t="shared" si="10"/>
        <v/>
      </c>
      <c r="D212" s="45" t="str">
        <f t="shared" si="1"/>
        <v/>
      </c>
      <c r="E212" s="45" t="str">
        <f t="shared" si="2"/>
        <v/>
      </c>
      <c r="F212" s="45" t="str">
        <f t="shared" si="3"/>
        <v/>
      </c>
      <c r="G212" s="45" t="str">
        <f t="shared" si="4"/>
        <v/>
      </c>
      <c r="H212" s="45" t="str">
        <f t="shared" si="5"/>
        <v/>
      </c>
      <c r="I212" s="45" t="str">
        <f t="shared" si="6"/>
        <v/>
      </c>
      <c r="J212" s="43"/>
    </row>
    <row r="213">
      <c r="A213" s="40" t="str">
        <f t="shared" si="8"/>
        <v/>
      </c>
      <c r="B213" s="44" t="str">
        <f t="shared" si="9"/>
        <v/>
      </c>
      <c r="C213" s="45" t="str">
        <f t="shared" si="10"/>
        <v/>
      </c>
      <c r="D213" s="45" t="str">
        <f t="shared" si="1"/>
        <v/>
      </c>
      <c r="E213" s="45" t="str">
        <f t="shared" si="2"/>
        <v/>
      </c>
      <c r="F213" s="45" t="str">
        <f t="shared" si="3"/>
        <v/>
      </c>
      <c r="G213" s="45" t="str">
        <f t="shared" si="4"/>
        <v/>
      </c>
      <c r="H213" s="45" t="str">
        <f t="shared" si="5"/>
        <v/>
      </c>
      <c r="I213" s="45" t="str">
        <f t="shared" si="6"/>
        <v/>
      </c>
      <c r="J213" s="43"/>
    </row>
    <row r="214">
      <c r="A214" s="40" t="str">
        <f t="shared" si="8"/>
        <v/>
      </c>
      <c r="B214" s="44" t="str">
        <f t="shared" si="9"/>
        <v/>
      </c>
      <c r="C214" s="45" t="str">
        <f t="shared" si="10"/>
        <v/>
      </c>
      <c r="D214" s="45" t="str">
        <f t="shared" si="1"/>
        <v/>
      </c>
      <c r="E214" s="45" t="str">
        <f t="shared" si="2"/>
        <v/>
      </c>
      <c r="F214" s="45" t="str">
        <f t="shared" si="3"/>
        <v/>
      </c>
      <c r="G214" s="45" t="str">
        <f t="shared" si="4"/>
        <v/>
      </c>
      <c r="H214" s="45" t="str">
        <f t="shared" si="5"/>
        <v/>
      </c>
      <c r="I214" s="45" t="str">
        <f t="shared" si="6"/>
        <v/>
      </c>
      <c r="J214" s="43"/>
    </row>
    <row r="215">
      <c r="A215" s="40" t="str">
        <f t="shared" si="8"/>
        <v/>
      </c>
      <c r="B215" s="44" t="str">
        <f t="shared" si="9"/>
        <v/>
      </c>
      <c r="C215" s="45" t="str">
        <f t="shared" si="10"/>
        <v/>
      </c>
      <c r="D215" s="45" t="str">
        <f t="shared" si="1"/>
        <v/>
      </c>
      <c r="E215" s="45" t="str">
        <f t="shared" si="2"/>
        <v/>
      </c>
      <c r="F215" s="45" t="str">
        <f t="shared" si="3"/>
        <v/>
      </c>
      <c r="G215" s="45" t="str">
        <f t="shared" si="4"/>
        <v/>
      </c>
      <c r="H215" s="45" t="str">
        <f t="shared" si="5"/>
        <v/>
      </c>
      <c r="I215" s="45" t="str">
        <f t="shared" si="6"/>
        <v/>
      </c>
      <c r="J215" s="43"/>
    </row>
    <row r="216">
      <c r="A216" s="40" t="str">
        <f t="shared" si="8"/>
        <v/>
      </c>
      <c r="B216" s="44" t="str">
        <f t="shared" si="9"/>
        <v/>
      </c>
      <c r="C216" s="45" t="str">
        <f t="shared" si="10"/>
        <v/>
      </c>
      <c r="D216" s="45" t="str">
        <f t="shared" si="1"/>
        <v/>
      </c>
      <c r="E216" s="45" t="str">
        <f t="shared" si="2"/>
        <v/>
      </c>
      <c r="F216" s="45" t="str">
        <f t="shared" si="3"/>
        <v/>
      </c>
      <c r="G216" s="45" t="str">
        <f t="shared" si="4"/>
        <v/>
      </c>
      <c r="H216" s="45" t="str">
        <f t="shared" si="5"/>
        <v/>
      </c>
      <c r="I216" s="45" t="str">
        <f t="shared" si="6"/>
        <v/>
      </c>
      <c r="J216" s="43"/>
    </row>
    <row r="217">
      <c r="A217" s="40" t="str">
        <f t="shared" si="8"/>
        <v/>
      </c>
      <c r="B217" s="44" t="str">
        <f t="shared" si="9"/>
        <v/>
      </c>
      <c r="C217" s="45" t="str">
        <f t="shared" si="10"/>
        <v/>
      </c>
      <c r="D217" s="45" t="str">
        <f t="shared" si="1"/>
        <v/>
      </c>
      <c r="E217" s="45" t="str">
        <f t="shared" si="2"/>
        <v/>
      </c>
      <c r="F217" s="45" t="str">
        <f t="shared" si="3"/>
        <v/>
      </c>
      <c r="G217" s="45" t="str">
        <f t="shared" si="4"/>
        <v/>
      </c>
      <c r="H217" s="45" t="str">
        <f t="shared" si="5"/>
        <v/>
      </c>
      <c r="I217" s="45" t="str">
        <f t="shared" si="6"/>
        <v/>
      </c>
      <c r="J217" s="43"/>
    </row>
    <row r="218">
      <c r="A218" s="40" t="str">
        <f t="shared" si="8"/>
        <v/>
      </c>
      <c r="B218" s="44" t="str">
        <f t="shared" si="9"/>
        <v/>
      </c>
      <c r="C218" s="45" t="str">
        <f t="shared" si="10"/>
        <v/>
      </c>
      <c r="D218" s="45" t="str">
        <f t="shared" si="1"/>
        <v/>
      </c>
      <c r="E218" s="45" t="str">
        <f t="shared" si="2"/>
        <v/>
      </c>
      <c r="F218" s="45" t="str">
        <f t="shared" si="3"/>
        <v/>
      </c>
      <c r="G218" s="45" t="str">
        <f t="shared" si="4"/>
        <v/>
      </c>
      <c r="H218" s="45" t="str">
        <f t="shared" si="5"/>
        <v/>
      </c>
      <c r="I218" s="45" t="str">
        <f t="shared" si="6"/>
        <v/>
      </c>
      <c r="J218" s="43"/>
    </row>
    <row r="219">
      <c r="A219" s="40" t="str">
        <f t="shared" si="8"/>
        <v/>
      </c>
      <c r="B219" s="44" t="str">
        <f t="shared" si="9"/>
        <v/>
      </c>
      <c r="C219" s="45" t="str">
        <f t="shared" si="10"/>
        <v/>
      </c>
      <c r="D219" s="45" t="str">
        <f t="shared" si="1"/>
        <v/>
      </c>
      <c r="E219" s="45" t="str">
        <f t="shared" si="2"/>
        <v/>
      </c>
      <c r="F219" s="45" t="str">
        <f t="shared" si="3"/>
        <v/>
      </c>
      <c r="G219" s="45" t="str">
        <f t="shared" si="4"/>
        <v/>
      </c>
      <c r="H219" s="45" t="str">
        <f t="shared" si="5"/>
        <v/>
      </c>
      <c r="I219" s="45" t="str">
        <f t="shared" si="6"/>
        <v/>
      </c>
      <c r="J219" s="43"/>
    </row>
    <row r="220">
      <c r="A220" s="40" t="str">
        <f t="shared" si="8"/>
        <v/>
      </c>
      <c r="B220" s="44" t="str">
        <f t="shared" si="9"/>
        <v/>
      </c>
      <c r="C220" s="45" t="str">
        <f t="shared" si="10"/>
        <v/>
      </c>
      <c r="D220" s="45" t="str">
        <f t="shared" si="1"/>
        <v/>
      </c>
      <c r="E220" s="45" t="str">
        <f t="shared" si="2"/>
        <v/>
      </c>
      <c r="F220" s="45" t="str">
        <f t="shared" si="3"/>
        <v/>
      </c>
      <c r="G220" s="45" t="str">
        <f t="shared" si="4"/>
        <v/>
      </c>
      <c r="H220" s="45" t="str">
        <f t="shared" si="5"/>
        <v/>
      </c>
      <c r="I220" s="45" t="str">
        <f t="shared" si="6"/>
        <v/>
      </c>
      <c r="J220" s="43"/>
    </row>
    <row r="221">
      <c r="A221" s="40" t="str">
        <f t="shared" si="8"/>
        <v/>
      </c>
      <c r="B221" s="44" t="str">
        <f t="shared" si="9"/>
        <v/>
      </c>
      <c r="C221" s="45" t="str">
        <f t="shared" si="10"/>
        <v/>
      </c>
      <c r="D221" s="45" t="str">
        <f t="shared" si="1"/>
        <v/>
      </c>
      <c r="E221" s="45" t="str">
        <f t="shared" si="2"/>
        <v/>
      </c>
      <c r="F221" s="45" t="str">
        <f t="shared" si="3"/>
        <v/>
      </c>
      <c r="G221" s="45" t="str">
        <f t="shared" si="4"/>
        <v/>
      </c>
      <c r="H221" s="45" t="str">
        <f t="shared" si="5"/>
        <v/>
      </c>
      <c r="I221" s="45" t="str">
        <f t="shared" si="6"/>
        <v/>
      </c>
      <c r="J221" s="43"/>
    </row>
    <row r="222">
      <c r="A222" s="40" t="str">
        <f t="shared" si="8"/>
        <v/>
      </c>
      <c r="B222" s="44" t="str">
        <f t="shared" si="9"/>
        <v/>
      </c>
      <c r="C222" s="45" t="str">
        <f t="shared" si="10"/>
        <v/>
      </c>
      <c r="D222" s="45" t="str">
        <f t="shared" si="1"/>
        <v/>
      </c>
      <c r="E222" s="45" t="str">
        <f t="shared" si="2"/>
        <v/>
      </c>
      <c r="F222" s="45" t="str">
        <f t="shared" si="3"/>
        <v/>
      </c>
      <c r="G222" s="45" t="str">
        <f t="shared" si="4"/>
        <v/>
      </c>
      <c r="H222" s="45" t="str">
        <f t="shared" si="5"/>
        <v/>
      </c>
      <c r="I222" s="45" t="str">
        <f t="shared" si="6"/>
        <v/>
      </c>
      <c r="J222" s="43"/>
    </row>
    <row r="223">
      <c r="A223" s="40" t="str">
        <f t="shared" si="8"/>
        <v/>
      </c>
      <c r="B223" s="44" t="str">
        <f t="shared" si="9"/>
        <v/>
      </c>
      <c r="C223" s="45" t="str">
        <f t="shared" si="10"/>
        <v/>
      </c>
      <c r="D223" s="45" t="str">
        <f t="shared" si="1"/>
        <v/>
      </c>
      <c r="E223" s="45" t="str">
        <f t="shared" si="2"/>
        <v/>
      </c>
      <c r="F223" s="45" t="str">
        <f t="shared" si="3"/>
        <v/>
      </c>
      <c r="G223" s="45" t="str">
        <f t="shared" si="4"/>
        <v/>
      </c>
      <c r="H223" s="45" t="str">
        <f t="shared" si="5"/>
        <v/>
      </c>
      <c r="I223" s="45" t="str">
        <f t="shared" si="6"/>
        <v/>
      </c>
      <c r="J223" s="43"/>
    </row>
    <row r="224">
      <c r="A224" s="40" t="str">
        <f t="shared" si="8"/>
        <v/>
      </c>
      <c r="B224" s="44" t="str">
        <f t="shared" si="9"/>
        <v/>
      </c>
      <c r="C224" s="45" t="str">
        <f t="shared" si="10"/>
        <v/>
      </c>
      <c r="D224" s="45" t="str">
        <f t="shared" si="1"/>
        <v/>
      </c>
      <c r="E224" s="45" t="str">
        <f t="shared" si="2"/>
        <v/>
      </c>
      <c r="F224" s="45" t="str">
        <f t="shared" si="3"/>
        <v/>
      </c>
      <c r="G224" s="45" t="str">
        <f t="shared" si="4"/>
        <v/>
      </c>
      <c r="H224" s="45" t="str">
        <f t="shared" si="5"/>
        <v/>
      </c>
      <c r="I224" s="45" t="str">
        <f t="shared" si="6"/>
        <v/>
      </c>
      <c r="J224" s="43"/>
    </row>
    <row r="225">
      <c r="A225" s="40" t="str">
        <f t="shared" si="8"/>
        <v/>
      </c>
      <c r="B225" s="44" t="str">
        <f t="shared" si="9"/>
        <v/>
      </c>
      <c r="C225" s="45" t="str">
        <f t="shared" si="10"/>
        <v/>
      </c>
      <c r="D225" s="45" t="str">
        <f t="shared" si="1"/>
        <v/>
      </c>
      <c r="E225" s="45" t="str">
        <f t="shared" si="2"/>
        <v/>
      </c>
      <c r="F225" s="45" t="str">
        <f t="shared" si="3"/>
        <v/>
      </c>
      <c r="G225" s="45" t="str">
        <f t="shared" si="4"/>
        <v/>
      </c>
      <c r="H225" s="45" t="str">
        <f t="shared" si="5"/>
        <v/>
      </c>
      <c r="I225" s="45" t="str">
        <f t="shared" si="6"/>
        <v/>
      </c>
      <c r="J225" s="43"/>
    </row>
    <row r="226">
      <c r="A226" s="40" t="str">
        <f t="shared" si="8"/>
        <v/>
      </c>
      <c r="B226" s="44" t="str">
        <f t="shared" si="9"/>
        <v/>
      </c>
      <c r="C226" s="45" t="str">
        <f t="shared" si="10"/>
        <v/>
      </c>
      <c r="D226" s="45" t="str">
        <f t="shared" si="1"/>
        <v/>
      </c>
      <c r="E226" s="45" t="str">
        <f t="shared" si="2"/>
        <v/>
      </c>
      <c r="F226" s="45" t="str">
        <f t="shared" si="3"/>
        <v/>
      </c>
      <c r="G226" s="45" t="str">
        <f t="shared" si="4"/>
        <v/>
      </c>
      <c r="H226" s="45" t="str">
        <f t="shared" si="5"/>
        <v/>
      </c>
      <c r="I226" s="45" t="str">
        <f t="shared" si="6"/>
        <v/>
      </c>
      <c r="J226" s="43"/>
    </row>
    <row r="227">
      <c r="A227" s="40" t="str">
        <f t="shared" si="8"/>
        <v/>
      </c>
      <c r="B227" s="44" t="str">
        <f t="shared" si="9"/>
        <v/>
      </c>
      <c r="C227" s="45" t="str">
        <f t="shared" si="10"/>
        <v/>
      </c>
      <c r="D227" s="45" t="str">
        <f t="shared" si="1"/>
        <v/>
      </c>
      <c r="E227" s="45" t="str">
        <f t="shared" si="2"/>
        <v/>
      </c>
      <c r="F227" s="45" t="str">
        <f t="shared" si="3"/>
        <v/>
      </c>
      <c r="G227" s="45" t="str">
        <f t="shared" si="4"/>
        <v/>
      </c>
      <c r="H227" s="45" t="str">
        <f t="shared" si="5"/>
        <v/>
      </c>
      <c r="I227" s="45" t="str">
        <f t="shared" si="6"/>
        <v/>
      </c>
      <c r="J227" s="43"/>
    </row>
    <row r="228">
      <c r="A228" s="40" t="str">
        <f t="shared" si="8"/>
        <v/>
      </c>
      <c r="B228" s="44" t="str">
        <f t="shared" si="9"/>
        <v/>
      </c>
      <c r="C228" s="45" t="str">
        <f t="shared" si="10"/>
        <v/>
      </c>
      <c r="D228" s="45" t="str">
        <f t="shared" si="1"/>
        <v/>
      </c>
      <c r="E228" s="45" t="str">
        <f t="shared" si="2"/>
        <v/>
      </c>
      <c r="F228" s="45" t="str">
        <f t="shared" si="3"/>
        <v/>
      </c>
      <c r="G228" s="45" t="str">
        <f t="shared" si="4"/>
        <v/>
      </c>
      <c r="H228" s="45" t="str">
        <f t="shared" si="5"/>
        <v/>
      </c>
      <c r="I228" s="45" t="str">
        <f t="shared" si="6"/>
        <v/>
      </c>
      <c r="J228" s="43"/>
    </row>
    <row r="229">
      <c r="A229" s="40" t="str">
        <f t="shared" si="8"/>
        <v/>
      </c>
      <c r="B229" s="44" t="str">
        <f t="shared" si="9"/>
        <v/>
      </c>
      <c r="C229" s="45" t="str">
        <f t="shared" si="10"/>
        <v/>
      </c>
      <c r="D229" s="45" t="str">
        <f t="shared" si="1"/>
        <v/>
      </c>
      <c r="E229" s="45" t="str">
        <f t="shared" si="2"/>
        <v/>
      </c>
      <c r="F229" s="45" t="str">
        <f t="shared" si="3"/>
        <v/>
      </c>
      <c r="G229" s="45" t="str">
        <f t="shared" si="4"/>
        <v/>
      </c>
      <c r="H229" s="45" t="str">
        <f t="shared" si="5"/>
        <v/>
      </c>
      <c r="I229" s="45" t="str">
        <f t="shared" si="6"/>
        <v/>
      </c>
      <c r="J229" s="43"/>
    </row>
    <row r="230">
      <c r="A230" s="40" t="str">
        <f t="shared" si="8"/>
        <v/>
      </c>
      <c r="B230" s="44" t="str">
        <f t="shared" si="9"/>
        <v/>
      </c>
      <c r="C230" s="45" t="str">
        <f t="shared" si="10"/>
        <v/>
      </c>
      <c r="D230" s="45" t="str">
        <f t="shared" si="1"/>
        <v/>
      </c>
      <c r="E230" s="45" t="str">
        <f t="shared" si="2"/>
        <v/>
      </c>
      <c r="F230" s="45" t="str">
        <f t="shared" si="3"/>
        <v/>
      </c>
      <c r="G230" s="45" t="str">
        <f t="shared" si="4"/>
        <v/>
      </c>
      <c r="H230" s="45" t="str">
        <f t="shared" si="5"/>
        <v/>
      </c>
      <c r="I230" s="45" t="str">
        <f t="shared" si="6"/>
        <v/>
      </c>
      <c r="J230" s="43"/>
    </row>
    <row r="231">
      <c r="A231" s="40" t="str">
        <f t="shared" si="8"/>
        <v/>
      </c>
      <c r="B231" s="44" t="str">
        <f t="shared" si="9"/>
        <v/>
      </c>
      <c r="C231" s="45" t="str">
        <f t="shared" si="10"/>
        <v/>
      </c>
      <c r="D231" s="45" t="str">
        <f t="shared" si="1"/>
        <v/>
      </c>
      <c r="E231" s="45" t="str">
        <f t="shared" si="2"/>
        <v/>
      </c>
      <c r="F231" s="45" t="str">
        <f t="shared" si="3"/>
        <v/>
      </c>
      <c r="G231" s="45" t="str">
        <f t="shared" si="4"/>
        <v/>
      </c>
      <c r="H231" s="45" t="str">
        <f t="shared" si="5"/>
        <v/>
      </c>
      <c r="I231" s="45" t="str">
        <f t="shared" si="6"/>
        <v/>
      </c>
      <c r="J231" s="43"/>
    </row>
    <row r="232">
      <c r="A232" s="40" t="str">
        <f t="shared" si="8"/>
        <v/>
      </c>
      <c r="B232" s="44" t="str">
        <f t="shared" si="9"/>
        <v/>
      </c>
      <c r="C232" s="45" t="str">
        <f t="shared" si="10"/>
        <v/>
      </c>
      <c r="D232" s="45" t="str">
        <f t="shared" si="1"/>
        <v/>
      </c>
      <c r="E232" s="45" t="str">
        <f t="shared" si="2"/>
        <v/>
      </c>
      <c r="F232" s="45" t="str">
        <f t="shared" si="3"/>
        <v/>
      </c>
      <c r="G232" s="45" t="str">
        <f t="shared" si="4"/>
        <v/>
      </c>
      <c r="H232" s="45" t="str">
        <f t="shared" si="5"/>
        <v/>
      </c>
      <c r="I232" s="45" t="str">
        <f t="shared" si="6"/>
        <v/>
      </c>
      <c r="J232" s="43"/>
    </row>
    <row r="233">
      <c r="A233" s="40" t="str">
        <f t="shared" si="8"/>
        <v/>
      </c>
      <c r="B233" s="44" t="str">
        <f t="shared" si="9"/>
        <v/>
      </c>
      <c r="C233" s="45" t="str">
        <f t="shared" si="10"/>
        <v/>
      </c>
      <c r="D233" s="45" t="str">
        <f t="shared" si="1"/>
        <v/>
      </c>
      <c r="E233" s="45" t="str">
        <f t="shared" si="2"/>
        <v/>
      </c>
      <c r="F233" s="45" t="str">
        <f t="shared" si="3"/>
        <v/>
      </c>
      <c r="G233" s="45" t="str">
        <f t="shared" si="4"/>
        <v/>
      </c>
      <c r="H233" s="45" t="str">
        <f t="shared" si="5"/>
        <v/>
      </c>
      <c r="I233" s="45" t="str">
        <f t="shared" si="6"/>
        <v/>
      </c>
      <c r="J233" s="43"/>
    </row>
    <row r="234">
      <c r="A234" s="40" t="str">
        <f t="shared" si="8"/>
        <v/>
      </c>
      <c r="B234" s="44" t="str">
        <f t="shared" si="9"/>
        <v/>
      </c>
      <c r="C234" s="45" t="str">
        <f t="shared" si="10"/>
        <v/>
      </c>
      <c r="D234" s="45" t="str">
        <f t="shared" si="1"/>
        <v/>
      </c>
      <c r="E234" s="45" t="str">
        <f t="shared" si="2"/>
        <v/>
      </c>
      <c r="F234" s="45" t="str">
        <f t="shared" si="3"/>
        <v/>
      </c>
      <c r="G234" s="45" t="str">
        <f t="shared" si="4"/>
        <v/>
      </c>
      <c r="H234" s="45" t="str">
        <f t="shared" si="5"/>
        <v/>
      </c>
      <c r="I234" s="45" t="str">
        <f t="shared" si="6"/>
        <v/>
      </c>
      <c r="J234" s="43"/>
    </row>
    <row r="235">
      <c r="A235" s="40" t="str">
        <f t="shared" si="8"/>
        <v/>
      </c>
      <c r="B235" s="44" t="str">
        <f t="shared" si="9"/>
        <v/>
      </c>
      <c r="C235" s="45" t="str">
        <f t="shared" si="10"/>
        <v/>
      </c>
      <c r="D235" s="45" t="str">
        <f t="shared" si="1"/>
        <v/>
      </c>
      <c r="E235" s="45" t="str">
        <f t="shared" si="2"/>
        <v/>
      </c>
      <c r="F235" s="45" t="str">
        <f t="shared" si="3"/>
        <v/>
      </c>
      <c r="G235" s="45" t="str">
        <f t="shared" si="4"/>
        <v/>
      </c>
      <c r="H235" s="45" t="str">
        <f t="shared" si="5"/>
        <v/>
      </c>
      <c r="I235" s="45" t="str">
        <f t="shared" si="6"/>
        <v/>
      </c>
      <c r="J235" s="43"/>
    </row>
    <row r="236">
      <c r="A236" s="40" t="str">
        <f t="shared" si="8"/>
        <v/>
      </c>
      <c r="B236" s="44" t="str">
        <f t="shared" si="9"/>
        <v/>
      </c>
      <c r="C236" s="45" t="str">
        <f t="shared" si="10"/>
        <v/>
      </c>
      <c r="D236" s="45" t="str">
        <f t="shared" si="1"/>
        <v/>
      </c>
      <c r="E236" s="45" t="str">
        <f t="shared" si="2"/>
        <v/>
      </c>
      <c r="F236" s="45" t="str">
        <f t="shared" si="3"/>
        <v/>
      </c>
      <c r="G236" s="45" t="str">
        <f t="shared" si="4"/>
        <v/>
      </c>
      <c r="H236" s="45" t="str">
        <f t="shared" si="5"/>
        <v/>
      </c>
      <c r="I236" s="45" t="str">
        <f t="shared" si="6"/>
        <v/>
      </c>
      <c r="J236" s="43"/>
    </row>
    <row r="237">
      <c r="A237" s="40" t="str">
        <f t="shared" si="8"/>
        <v/>
      </c>
      <c r="B237" s="44" t="str">
        <f t="shared" si="9"/>
        <v/>
      </c>
      <c r="C237" s="45" t="str">
        <f t="shared" si="10"/>
        <v/>
      </c>
      <c r="D237" s="45" t="str">
        <f t="shared" si="1"/>
        <v/>
      </c>
      <c r="E237" s="45" t="str">
        <f t="shared" si="2"/>
        <v/>
      </c>
      <c r="F237" s="45" t="str">
        <f t="shared" si="3"/>
        <v/>
      </c>
      <c r="G237" s="45" t="str">
        <f t="shared" si="4"/>
        <v/>
      </c>
      <c r="H237" s="45" t="str">
        <f t="shared" si="5"/>
        <v/>
      </c>
      <c r="I237" s="45" t="str">
        <f t="shared" si="6"/>
        <v/>
      </c>
      <c r="J237" s="43"/>
    </row>
    <row r="238">
      <c r="A238" s="40" t="str">
        <f t="shared" si="8"/>
        <v/>
      </c>
      <c r="B238" s="44" t="str">
        <f t="shared" si="9"/>
        <v/>
      </c>
      <c r="C238" s="45" t="str">
        <f t="shared" si="10"/>
        <v/>
      </c>
      <c r="D238" s="45" t="str">
        <f t="shared" si="1"/>
        <v/>
      </c>
      <c r="E238" s="45" t="str">
        <f t="shared" si="2"/>
        <v/>
      </c>
      <c r="F238" s="45" t="str">
        <f t="shared" si="3"/>
        <v/>
      </c>
      <c r="G238" s="45" t="str">
        <f t="shared" si="4"/>
        <v/>
      </c>
      <c r="H238" s="45" t="str">
        <f t="shared" si="5"/>
        <v/>
      </c>
      <c r="I238" s="45" t="str">
        <f t="shared" si="6"/>
        <v/>
      </c>
      <c r="J238" s="43"/>
    </row>
    <row r="239">
      <c r="A239" s="40" t="str">
        <f t="shared" si="8"/>
        <v/>
      </c>
      <c r="B239" s="44" t="str">
        <f t="shared" si="9"/>
        <v/>
      </c>
      <c r="C239" s="45" t="str">
        <f t="shared" si="10"/>
        <v/>
      </c>
      <c r="D239" s="45" t="str">
        <f t="shared" si="1"/>
        <v/>
      </c>
      <c r="E239" s="45" t="str">
        <f t="shared" si="2"/>
        <v/>
      </c>
      <c r="F239" s="45" t="str">
        <f t="shared" si="3"/>
        <v/>
      </c>
      <c r="G239" s="45" t="str">
        <f t="shared" si="4"/>
        <v/>
      </c>
      <c r="H239" s="45" t="str">
        <f t="shared" si="5"/>
        <v/>
      </c>
      <c r="I239" s="45" t="str">
        <f t="shared" si="6"/>
        <v/>
      </c>
      <c r="J239" s="43"/>
    </row>
    <row r="240">
      <c r="A240" s="40" t="str">
        <f t="shared" si="8"/>
        <v/>
      </c>
      <c r="B240" s="44" t="str">
        <f t="shared" si="9"/>
        <v/>
      </c>
      <c r="C240" s="45" t="str">
        <f t="shared" si="10"/>
        <v/>
      </c>
      <c r="D240" s="45" t="str">
        <f t="shared" si="1"/>
        <v/>
      </c>
      <c r="E240" s="45" t="str">
        <f t="shared" si="2"/>
        <v/>
      </c>
      <c r="F240" s="45" t="str">
        <f t="shared" si="3"/>
        <v/>
      </c>
      <c r="G240" s="45" t="str">
        <f t="shared" si="4"/>
        <v/>
      </c>
      <c r="H240" s="45" t="str">
        <f t="shared" si="5"/>
        <v/>
      </c>
      <c r="I240" s="45" t="str">
        <f t="shared" si="6"/>
        <v/>
      </c>
      <c r="J240" s="43"/>
    </row>
    <row r="241">
      <c r="A241" s="40" t="str">
        <f t="shared" si="8"/>
        <v/>
      </c>
      <c r="B241" s="44" t="str">
        <f t="shared" si="9"/>
        <v/>
      </c>
      <c r="C241" s="45" t="str">
        <f t="shared" si="10"/>
        <v/>
      </c>
      <c r="D241" s="45" t="str">
        <f t="shared" si="1"/>
        <v/>
      </c>
      <c r="E241" s="45" t="str">
        <f t="shared" si="2"/>
        <v/>
      </c>
      <c r="F241" s="45" t="str">
        <f t="shared" si="3"/>
        <v/>
      </c>
      <c r="G241" s="45" t="str">
        <f t="shared" si="4"/>
        <v/>
      </c>
      <c r="H241" s="45" t="str">
        <f t="shared" si="5"/>
        <v/>
      </c>
      <c r="I241" s="45" t="str">
        <f t="shared" si="6"/>
        <v/>
      </c>
      <c r="J241" s="43"/>
    </row>
    <row r="242">
      <c r="A242" s="40" t="str">
        <f t="shared" si="8"/>
        <v/>
      </c>
      <c r="B242" s="44" t="str">
        <f t="shared" si="9"/>
        <v/>
      </c>
      <c r="C242" s="45" t="str">
        <f t="shared" si="10"/>
        <v/>
      </c>
      <c r="D242" s="45" t="str">
        <f t="shared" si="1"/>
        <v/>
      </c>
      <c r="E242" s="45" t="str">
        <f t="shared" si="2"/>
        <v/>
      </c>
      <c r="F242" s="45" t="str">
        <f t="shared" si="3"/>
        <v/>
      </c>
      <c r="G242" s="45" t="str">
        <f t="shared" si="4"/>
        <v/>
      </c>
      <c r="H242" s="45" t="str">
        <f t="shared" si="5"/>
        <v/>
      </c>
      <c r="I242" s="45" t="str">
        <f t="shared" si="6"/>
        <v/>
      </c>
      <c r="J242" s="43"/>
    </row>
    <row r="243">
      <c r="A243" s="40" t="str">
        <f t="shared" si="8"/>
        <v/>
      </c>
      <c r="B243" s="44" t="str">
        <f t="shared" si="9"/>
        <v/>
      </c>
      <c r="C243" s="45" t="str">
        <f t="shared" si="10"/>
        <v/>
      </c>
      <c r="D243" s="45" t="str">
        <f t="shared" si="1"/>
        <v/>
      </c>
      <c r="E243" s="45" t="str">
        <f t="shared" si="2"/>
        <v/>
      </c>
      <c r="F243" s="45" t="str">
        <f t="shared" si="3"/>
        <v/>
      </c>
      <c r="G243" s="45" t="str">
        <f t="shared" si="4"/>
        <v/>
      </c>
      <c r="H243" s="45" t="str">
        <f t="shared" si="5"/>
        <v/>
      </c>
      <c r="I243" s="45" t="str">
        <f t="shared" si="6"/>
        <v/>
      </c>
      <c r="J243" s="43"/>
    </row>
    <row r="244">
      <c r="A244" s="40" t="str">
        <f t="shared" si="8"/>
        <v/>
      </c>
      <c r="B244" s="44" t="str">
        <f t="shared" si="9"/>
        <v/>
      </c>
      <c r="C244" s="45" t="str">
        <f t="shared" si="10"/>
        <v/>
      </c>
      <c r="D244" s="45" t="str">
        <f t="shared" si="1"/>
        <v/>
      </c>
      <c r="E244" s="45" t="str">
        <f t="shared" si="2"/>
        <v/>
      </c>
      <c r="F244" s="45" t="str">
        <f t="shared" si="3"/>
        <v/>
      </c>
      <c r="G244" s="45" t="str">
        <f t="shared" si="4"/>
        <v/>
      </c>
      <c r="H244" s="45" t="str">
        <f t="shared" si="5"/>
        <v/>
      </c>
      <c r="I244" s="45" t="str">
        <f t="shared" si="6"/>
        <v/>
      </c>
      <c r="J244" s="43"/>
    </row>
    <row r="245">
      <c r="A245" s="40" t="str">
        <f t="shared" si="8"/>
        <v/>
      </c>
      <c r="B245" s="44" t="str">
        <f t="shared" si="9"/>
        <v/>
      </c>
      <c r="C245" s="45" t="str">
        <f t="shared" si="10"/>
        <v/>
      </c>
      <c r="D245" s="45" t="str">
        <f t="shared" si="1"/>
        <v/>
      </c>
      <c r="E245" s="45" t="str">
        <f t="shared" si="2"/>
        <v/>
      </c>
      <c r="F245" s="45" t="str">
        <f t="shared" si="3"/>
        <v/>
      </c>
      <c r="G245" s="45" t="str">
        <f t="shared" si="4"/>
        <v/>
      </c>
      <c r="H245" s="45" t="str">
        <f t="shared" si="5"/>
        <v/>
      </c>
      <c r="I245" s="45" t="str">
        <f t="shared" si="6"/>
        <v/>
      </c>
      <c r="J245" s="43"/>
    </row>
    <row r="246">
      <c r="A246" s="40" t="str">
        <f t="shared" si="8"/>
        <v/>
      </c>
      <c r="B246" s="44" t="str">
        <f t="shared" si="9"/>
        <v/>
      </c>
      <c r="C246" s="45" t="str">
        <f t="shared" si="10"/>
        <v/>
      </c>
      <c r="D246" s="45" t="str">
        <f t="shared" si="1"/>
        <v/>
      </c>
      <c r="E246" s="45" t="str">
        <f t="shared" si="2"/>
        <v/>
      </c>
      <c r="F246" s="45" t="str">
        <f t="shared" si="3"/>
        <v/>
      </c>
      <c r="G246" s="45" t="str">
        <f t="shared" si="4"/>
        <v/>
      </c>
      <c r="H246" s="45" t="str">
        <f t="shared" si="5"/>
        <v/>
      </c>
      <c r="I246" s="45" t="str">
        <f t="shared" si="6"/>
        <v/>
      </c>
      <c r="J246" s="43"/>
    </row>
    <row r="247">
      <c r="A247" s="40" t="str">
        <f t="shared" si="8"/>
        <v/>
      </c>
      <c r="B247" s="44" t="str">
        <f t="shared" si="9"/>
        <v/>
      </c>
      <c r="C247" s="45" t="str">
        <f t="shared" si="10"/>
        <v/>
      </c>
      <c r="D247" s="45" t="str">
        <f t="shared" si="1"/>
        <v/>
      </c>
      <c r="E247" s="45" t="str">
        <f t="shared" si="2"/>
        <v/>
      </c>
      <c r="F247" s="45" t="str">
        <f t="shared" si="3"/>
        <v/>
      </c>
      <c r="G247" s="45" t="str">
        <f t="shared" si="4"/>
        <v/>
      </c>
      <c r="H247" s="45" t="str">
        <f t="shared" si="5"/>
        <v/>
      </c>
      <c r="I247" s="45" t="str">
        <f t="shared" si="6"/>
        <v/>
      </c>
      <c r="J247" s="43"/>
    </row>
    <row r="248">
      <c r="A248" s="40" t="str">
        <f t="shared" si="8"/>
        <v/>
      </c>
      <c r="B248" s="44" t="str">
        <f t="shared" si="9"/>
        <v/>
      </c>
      <c r="C248" s="45" t="str">
        <f t="shared" si="10"/>
        <v/>
      </c>
      <c r="D248" s="45" t="str">
        <f t="shared" si="1"/>
        <v/>
      </c>
      <c r="E248" s="45" t="str">
        <f t="shared" si="2"/>
        <v/>
      </c>
      <c r="F248" s="45" t="str">
        <f t="shared" si="3"/>
        <v/>
      </c>
      <c r="G248" s="45" t="str">
        <f t="shared" si="4"/>
        <v/>
      </c>
      <c r="H248" s="45" t="str">
        <f t="shared" si="5"/>
        <v/>
      </c>
      <c r="I248" s="45" t="str">
        <f t="shared" si="6"/>
        <v/>
      </c>
      <c r="J248" s="43"/>
    </row>
    <row r="249">
      <c r="A249" s="40" t="str">
        <f t="shared" si="8"/>
        <v/>
      </c>
      <c r="B249" s="44" t="str">
        <f t="shared" si="9"/>
        <v/>
      </c>
      <c r="C249" s="45" t="str">
        <f t="shared" si="10"/>
        <v/>
      </c>
      <c r="D249" s="45" t="str">
        <f t="shared" si="1"/>
        <v/>
      </c>
      <c r="E249" s="45" t="str">
        <f t="shared" si="2"/>
        <v/>
      </c>
      <c r="F249" s="45" t="str">
        <f t="shared" si="3"/>
        <v/>
      </c>
      <c r="G249" s="45" t="str">
        <f t="shared" si="4"/>
        <v/>
      </c>
      <c r="H249" s="45" t="str">
        <f t="shared" si="5"/>
        <v/>
      </c>
      <c r="I249" s="45" t="str">
        <f t="shared" si="6"/>
        <v/>
      </c>
      <c r="J249" s="43"/>
    </row>
    <row r="250">
      <c r="A250" s="40" t="str">
        <f t="shared" si="8"/>
        <v/>
      </c>
      <c r="B250" s="44" t="str">
        <f t="shared" si="9"/>
        <v/>
      </c>
      <c r="C250" s="45" t="str">
        <f t="shared" si="10"/>
        <v/>
      </c>
      <c r="D250" s="45" t="str">
        <f t="shared" si="1"/>
        <v/>
      </c>
      <c r="E250" s="45" t="str">
        <f t="shared" si="2"/>
        <v/>
      </c>
      <c r="F250" s="45" t="str">
        <f t="shared" si="3"/>
        <v/>
      </c>
      <c r="G250" s="45" t="str">
        <f t="shared" si="4"/>
        <v/>
      </c>
      <c r="H250" s="45" t="str">
        <f t="shared" si="5"/>
        <v/>
      </c>
      <c r="I250" s="45" t="str">
        <f t="shared" si="6"/>
        <v/>
      </c>
      <c r="J250" s="43"/>
    </row>
    <row r="251">
      <c r="A251" s="40" t="str">
        <f t="shared" si="8"/>
        <v/>
      </c>
      <c r="B251" s="44" t="str">
        <f t="shared" si="9"/>
        <v/>
      </c>
      <c r="C251" s="45" t="str">
        <f t="shared" si="10"/>
        <v/>
      </c>
      <c r="D251" s="45" t="str">
        <f t="shared" si="1"/>
        <v/>
      </c>
      <c r="E251" s="45" t="str">
        <f t="shared" si="2"/>
        <v/>
      </c>
      <c r="F251" s="45" t="str">
        <f t="shared" si="3"/>
        <v/>
      </c>
      <c r="G251" s="45" t="str">
        <f t="shared" si="4"/>
        <v/>
      </c>
      <c r="H251" s="45" t="str">
        <f t="shared" si="5"/>
        <v/>
      </c>
      <c r="I251" s="45" t="str">
        <f t="shared" si="6"/>
        <v/>
      </c>
      <c r="J251" s="43"/>
    </row>
    <row r="252">
      <c r="A252" s="40" t="str">
        <f t="shared" si="8"/>
        <v/>
      </c>
      <c r="B252" s="44" t="str">
        <f t="shared" si="9"/>
        <v/>
      </c>
      <c r="C252" s="45" t="str">
        <f t="shared" si="10"/>
        <v/>
      </c>
      <c r="D252" s="45" t="str">
        <f t="shared" si="1"/>
        <v/>
      </c>
      <c r="E252" s="45" t="str">
        <f t="shared" si="2"/>
        <v/>
      </c>
      <c r="F252" s="45" t="str">
        <f t="shared" si="3"/>
        <v/>
      </c>
      <c r="G252" s="45" t="str">
        <f t="shared" si="4"/>
        <v/>
      </c>
      <c r="H252" s="45" t="str">
        <f t="shared" si="5"/>
        <v/>
      </c>
      <c r="I252" s="45" t="str">
        <f t="shared" si="6"/>
        <v/>
      </c>
      <c r="J252" s="43"/>
    </row>
    <row r="253">
      <c r="A253" s="40" t="str">
        <f t="shared" si="8"/>
        <v/>
      </c>
      <c r="B253" s="44" t="str">
        <f t="shared" si="9"/>
        <v/>
      </c>
      <c r="C253" s="45" t="str">
        <f t="shared" si="10"/>
        <v/>
      </c>
      <c r="D253" s="45" t="str">
        <f t="shared" si="1"/>
        <v/>
      </c>
      <c r="E253" s="45" t="str">
        <f t="shared" si="2"/>
        <v/>
      </c>
      <c r="F253" s="45" t="str">
        <f t="shared" si="3"/>
        <v/>
      </c>
      <c r="G253" s="45" t="str">
        <f t="shared" si="4"/>
        <v/>
      </c>
      <c r="H253" s="45" t="str">
        <f t="shared" si="5"/>
        <v/>
      </c>
      <c r="I253" s="45" t="str">
        <f t="shared" si="6"/>
        <v/>
      </c>
      <c r="J253" s="43"/>
    </row>
    <row r="254">
      <c r="A254" s="40" t="str">
        <f t="shared" si="8"/>
        <v/>
      </c>
      <c r="B254" s="44" t="str">
        <f t="shared" si="9"/>
        <v/>
      </c>
      <c r="C254" s="45" t="str">
        <f t="shared" si="10"/>
        <v/>
      </c>
      <c r="D254" s="45" t="str">
        <f t="shared" si="1"/>
        <v/>
      </c>
      <c r="E254" s="45" t="str">
        <f t="shared" si="2"/>
        <v/>
      </c>
      <c r="F254" s="45" t="str">
        <f t="shared" si="3"/>
        <v/>
      </c>
      <c r="G254" s="45" t="str">
        <f t="shared" si="4"/>
        <v/>
      </c>
      <c r="H254" s="45" t="str">
        <f t="shared" si="5"/>
        <v/>
      </c>
      <c r="I254" s="45" t="str">
        <f t="shared" si="6"/>
        <v/>
      </c>
      <c r="J254" s="43"/>
    </row>
    <row r="255">
      <c r="A255" s="40" t="str">
        <f t="shared" si="8"/>
        <v/>
      </c>
      <c r="B255" s="44" t="str">
        <f t="shared" si="9"/>
        <v/>
      </c>
      <c r="C255" s="45" t="str">
        <f t="shared" si="10"/>
        <v/>
      </c>
      <c r="D255" s="45" t="str">
        <f t="shared" si="1"/>
        <v/>
      </c>
      <c r="E255" s="45" t="str">
        <f t="shared" si="2"/>
        <v/>
      </c>
      <c r="F255" s="45" t="str">
        <f t="shared" si="3"/>
        <v/>
      </c>
      <c r="G255" s="45" t="str">
        <f t="shared" si="4"/>
        <v/>
      </c>
      <c r="H255" s="45" t="str">
        <f t="shared" si="5"/>
        <v/>
      </c>
      <c r="I255" s="45" t="str">
        <f t="shared" si="6"/>
        <v/>
      </c>
      <c r="J255" s="43"/>
    </row>
    <row r="256">
      <c r="A256" s="40" t="str">
        <f t="shared" si="8"/>
        <v/>
      </c>
      <c r="B256" s="44" t="str">
        <f t="shared" si="9"/>
        <v/>
      </c>
      <c r="C256" s="45" t="str">
        <f t="shared" si="10"/>
        <v/>
      </c>
      <c r="D256" s="45" t="str">
        <f t="shared" si="1"/>
        <v/>
      </c>
      <c r="E256" s="45" t="str">
        <f t="shared" si="2"/>
        <v/>
      </c>
      <c r="F256" s="45" t="str">
        <f t="shared" si="3"/>
        <v/>
      </c>
      <c r="G256" s="45" t="str">
        <f t="shared" si="4"/>
        <v/>
      </c>
      <c r="H256" s="45" t="str">
        <f t="shared" si="5"/>
        <v/>
      </c>
      <c r="I256" s="45" t="str">
        <f t="shared" si="6"/>
        <v/>
      </c>
      <c r="J256" s="43"/>
    </row>
    <row r="257">
      <c r="A257" s="40" t="str">
        <f t="shared" si="8"/>
        <v/>
      </c>
      <c r="B257" s="44" t="str">
        <f t="shared" si="9"/>
        <v/>
      </c>
      <c r="C257" s="45" t="str">
        <f t="shared" si="10"/>
        <v/>
      </c>
      <c r="D257" s="45" t="str">
        <f t="shared" si="1"/>
        <v/>
      </c>
      <c r="E257" s="45" t="str">
        <f t="shared" si="2"/>
        <v/>
      </c>
      <c r="F257" s="45" t="str">
        <f t="shared" si="3"/>
        <v/>
      </c>
      <c r="G257" s="45" t="str">
        <f t="shared" si="4"/>
        <v/>
      </c>
      <c r="H257" s="45" t="str">
        <f t="shared" si="5"/>
        <v/>
      </c>
      <c r="I257" s="45" t="str">
        <f t="shared" si="6"/>
        <v/>
      </c>
      <c r="J257" s="43"/>
    </row>
    <row r="258">
      <c r="A258" s="40" t="str">
        <f t="shared" si="8"/>
        <v/>
      </c>
      <c r="B258" s="44" t="str">
        <f t="shared" si="9"/>
        <v/>
      </c>
      <c r="C258" s="45" t="str">
        <f t="shared" si="10"/>
        <v/>
      </c>
      <c r="D258" s="45" t="str">
        <f t="shared" si="1"/>
        <v/>
      </c>
      <c r="E258" s="45" t="str">
        <f t="shared" si="2"/>
        <v/>
      </c>
      <c r="F258" s="45" t="str">
        <f t="shared" si="3"/>
        <v/>
      </c>
      <c r="G258" s="45" t="str">
        <f t="shared" si="4"/>
        <v/>
      </c>
      <c r="H258" s="45" t="str">
        <f t="shared" si="5"/>
        <v/>
      </c>
      <c r="I258" s="45" t="str">
        <f t="shared" si="6"/>
        <v/>
      </c>
      <c r="J258" s="43"/>
    </row>
    <row r="259">
      <c r="A259" s="40" t="str">
        <f t="shared" si="8"/>
        <v/>
      </c>
      <c r="B259" s="44" t="str">
        <f t="shared" si="9"/>
        <v/>
      </c>
      <c r="C259" s="45" t="str">
        <f t="shared" si="10"/>
        <v/>
      </c>
      <c r="D259" s="45" t="str">
        <f t="shared" si="1"/>
        <v/>
      </c>
      <c r="E259" s="45" t="str">
        <f t="shared" si="2"/>
        <v/>
      </c>
      <c r="F259" s="45" t="str">
        <f t="shared" si="3"/>
        <v/>
      </c>
      <c r="G259" s="45" t="str">
        <f t="shared" si="4"/>
        <v/>
      </c>
      <c r="H259" s="45" t="str">
        <f t="shared" si="5"/>
        <v/>
      </c>
      <c r="I259" s="45" t="str">
        <f t="shared" si="6"/>
        <v/>
      </c>
      <c r="J259" s="43"/>
    </row>
    <row r="260">
      <c r="A260" s="40" t="str">
        <f t="shared" si="8"/>
        <v/>
      </c>
      <c r="B260" s="44" t="str">
        <f t="shared" si="9"/>
        <v/>
      </c>
      <c r="C260" s="45" t="str">
        <f t="shared" si="10"/>
        <v/>
      </c>
      <c r="D260" s="45" t="str">
        <f t="shared" si="1"/>
        <v/>
      </c>
      <c r="E260" s="45" t="str">
        <f t="shared" si="2"/>
        <v/>
      </c>
      <c r="F260" s="45" t="str">
        <f t="shared" si="3"/>
        <v/>
      </c>
      <c r="G260" s="45" t="str">
        <f t="shared" si="4"/>
        <v/>
      </c>
      <c r="H260" s="45" t="str">
        <f t="shared" si="5"/>
        <v/>
      </c>
      <c r="I260" s="45" t="str">
        <f t="shared" si="6"/>
        <v/>
      </c>
      <c r="J260" s="43"/>
    </row>
    <row r="261">
      <c r="A261" s="40" t="str">
        <f t="shared" si="8"/>
        <v/>
      </c>
      <c r="B261" s="44" t="str">
        <f t="shared" si="9"/>
        <v/>
      </c>
      <c r="C261" s="45" t="str">
        <f t="shared" si="10"/>
        <v/>
      </c>
      <c r="D261" s="45" t="str">
        <f t="shared" si="1"/>
        <v/>
      </c>
      <c r="E261" s="45" t="str">
        <f t="shared" si="2"/>
        <v/>
      </c>
      <c r="F261" s="45" t="str">
        <f t="shared" si="3"/>
        <v/>
      </c>
      <c r="G261" s="45" t="str">
        <f t="shared" si="4"/>
        <v/>
      </c>
      <c r="H261" s="45" t="str">
        <f t="shared" si="5"/>
        <v/>
      </c>
      <c r="I261" s="45" t="str">
        <f t="shared" si="6"/>
        <v/>
      </c>
      <c r="J261" s="43"/>
    </row>
    <row r="262">
      <c r="A262" s="40" t="str">
        <f t="shared" si="8"/>
        <v/>
      </c>
      <c r="B262" s="44" t="str">
        <f t="shared" si="9"/>
        <v/>
      </c>
      <c r="C262" s="45" t="str">
        <f t="shared" si="10"/>
        <v/>
      </c>
      <c r="D262" s="45" t="str">
        <f t="shared" si="1"/>
        <v/>
      </c>
      <c r="E262" s="45" t="str">
        <f t="shared" si="2"/>
        <v/>
      </c>
      <c r="F262" s="45" t="str">
        <f t="shared" si="3"/>
        <v/>
      </c>
      <c r="G262" s="45" t="str">
        <f t="shared" si="4"/>
        <v/>
      </c>
      <c r="H262" s="45" t="str">
        <f t="shared" si="5"/>
        <v/>
      </c>
      <c r="I262" s="45" t="str">
        <f t="shared" si="6"/>
        <v/>
      </c>
      <c r="J262" s="43"/>
    </row>
    <row r="263">
      <c r="A263" s="40" t="str">
        <f t="shared" si="8"/>
        <v/>
      </c>
      <c r="B263" s="44" t="str">
        <f t="shared" si="9"/>
        <v/>
      </c>
      <c r="C263" s="45" t="str">
        <f t="shared" si="10"/>
        <v/>
      </c>
      <c r="D263" s="45" t="str">
        <f t="shared" si="1"/>
        <v/>
      </c>
      <c r="E263" s="45" t="str">
        <f t="shared" si="2"/>
        <v/>
      </c>
      <c r="F263" s="45" t="str">
        <f t="shared" si="3"/>
        <v/>
      </c>
      <c r="G263" s="45" t="str">
        <f t="shared" si="4"/>
        <v/>
      </c>
      <c r="H263" s="45" t="str">
        <f t="shared" si="5"/>
        <v/>
      </c>
      <c r="I263" s="45" t="str">
        <f t="shared" si="6"/>
        <v/>
      </c>
      <c r="J263" s="43"/>
    </row>
    <row r="264">
      <c r="A264" s="40" t="str">
        <f t="shared" si="8"/>
        <v/>
      </c>
      <c r="B264" s="44" t="str">
        <f t="shared" si="9"/>
        <v/>
      </c>
      <c r="C264" s="45" t="str">
        <f t="shared" si="10"/>
        <v/>
      </c>
      <c r="D264" s="45" t="str">
        <f t="shared" si="1"/>
        <v/>
      </c>
      <c r="E264" s="45" t="str">
        <f t="shared" si="2"/>
        <v/>
      </c>
      <c r="F264" s="45" t="str">
        <f t="shared" si="3"/>
        <v/>
      </c>
      <c r="G264" s="45" t="str">
        <f t="shared" si="4"/>
        <v/>
      </c>
      <c r="H264" s="45" t="str">
        <f t="shared" si="5"/>
        <v/>
      </c>
      <c r="I264" s="45" t="str">
        <f t="shared" si="6"/>
        <v/>
      </c>
      <c r="J264" s="43"/>
    </row>
    <row r="265">
      <c r="A265" s="40" t="str">
        <f t="shared" si="8"/>
        <v/>
      </c>
      <c r="B265" s="44" t="str">
        <f t="shared" si="9"/>
        <v/>
      </c>
      <c r="C265" s="45" t="str">
        <f t="shared" si="10"/>
        <v/>
      </c>
      <c r="D265" s="45" t="str">
        <f t="shared" si="1"/>
        <v/>
      </c>
      <c r="E265" s="45" t="str">
        <f t="shared" si="2"/>
        <v/>
      </c>
      <c r="F265" s="45" t="str">
        <f t="shared" si="3"/>
        <v/>
      </c>
      <c r="G265" s="45" t="str">
        <f t="shared" si="4"/>
        <v/>
      </c>
      <c r="H265" s="45" t="str">
        <f t="shared" si="5"/>
        <v/>
      </c>
      <c r="I265" s="45" t="str">
        <f t="shared" si="6"/>
        <v/>
      </c>
      <c r="J265" s="43"/>
    </row>
    <row r="266">
      <c r="A266" s="40" t="str">
        <f t="shared" si="8"/>
        <v/>
      </c>
      <c r="B266" s="44" t="str">
        <f t="shared" si="9"/>
        <v/>
      </c>
      <c r="C266" s="45" t="str">
        <f t="shared" si="10"/>
        <v/>
      </c>
      <c r="D266" s="45" t="str">
        <f t="shared" si="1"/>
        <v/>
      </c>
      <c r="E266" s="45" t="str">
        <f t="shared" si="2"/>
        <v/>
      </c>
      <c r="F266" s="45" t="str">
        <f t="shared" si="3"/>
        <v/>
      </c>
      <c r="G266" s="45" t="str">
        <f t="shared" si="4"/>
        <v/>
      </c>
      <c r="H266" s="45" t="str">
        <f t="shared" si="5"/>
        <v/>
      </c>
      <c r="I266" s="45" t="str">
        <f t="shared" si="6"/>
        <v/>
      </c>
      <c r="J266" s="43"/>
    </row>
    <row r="267">
      <c r="A267" s="40" t="str">
        <f t="shared" si="8"/>
        <v/>
      </c>
      <c r="B267" s="44" t="str">
        <f t="shared" si="9"/>
        <v/>
      </c>
      <c r="C267" s="45" t="str">
        <f t="shared" si="10"/>
        <v/>
      </c>
      <c r="D267" s="45" t="str">
        <f t="shared" si="1"/>
        <v/>
      </c>
      <c r="E267" s="45" t="str">
        <f t="shared" si="2"/>
        <v/>
      </c>
      <c r="F267" s="45" t="str">
        <f t="shared" si="3"/>
        <v/>
      </c>
      <c r="G267" s="45" t="str">
        <f t="shared" si="4"/>
        <v/>
      </c>
      <c r="H267" s="45" t="str">
        <f t="shared" si="5"/>
        <v/>
      </c>
      <c r="I267" s="45" t="str">
        <f t="shared" si="6"/>
        <v/>
      </c>
      <c r="J267" s="43"/>
    </row>
    <row r="268">
      <c r="A268" s="40" t="str">
        <f t="shared" si="8"/>
        <v/>
      </c>
      <c r="B268" s="44" t="str">
        <f t="shared" si="9"/>
        <v/>
      </c>
      <c r="C268" s="45" t="str">
        <f t="shared" si="10"/>
        <v/>
      </c>
      <c r="D268" s="45" t="str">
        <f t="shared" si="1"/>
        <v/>
      </c>
      <c r="E268" s="45" t="str">
        <f t="shared" si="2"/>
        <v/>
      </c>
      <c r="F268" s="45" t="str">
        <f t="shared" si="3"/>
        <v/>
      </c>
      <c r="G268" s="45" t="str">
        <f t="shared" si="4"/>
        <v/>
      </c>
      <c r="H268" s="45" t="str">
        <f t="shared" si="5"/>
        <v/>
      </c>
      <c r="I268" s="45" t="str">
        <f t="shared" si="6"/>
        <v/>
      </c>
      <c r="J268" s="43"/>
    </row>
    <row r="269">
      <c r="A269" s="40" t="str">
        <f t="shared" si="8"/>
        <v/>
      </c>
      <c r="B269" s="44" t="str">
        <f t="shared" si="9"/>
        <v/>
      </c>
      <c r="C269" s="45" t="str">
        <f t="shared" si="10"/>
        <v/>
      </c>
      <c r="D269" s="45" t="str">
        <f t="shared" si="1"/>
        <v/>
      </c>
      <c r="E269" s="45" t="str">
        <f t="shared" si="2"/>
        <v/>
      </c>
      <c r="F269" s="45" t="str">
        <f t="shared" si="3"/>
        <v/>
      </c>
      <c r="G269" s="45" t="str">
        <f t="shared" si="4"/>
        <v/>
      </c>
      <c r="H269" s="45" t="str">
        <f t="shared" si="5"/>
        <v/>
      </c>
      <c r="I269" s="45" t="str">
        <f t="shared" si="6"/>
        <v/>
      </c>
      <c r="J269" s="43"/>
    </row>
    <row r="270">
      <c r="A270" s="40" t="str">
        <f t="shared" si="8"/>
        <v/>
      </c>
      <c r="B270" s="44" t="str">
        <f t="shared" si="9"/>
        <v/>
      </c>
      <c r="C270" s="45" t="str">
        <f t="shared" si="10"/>
        <v/>
      </c>
      <c r="D270" s="45" t="str">
        <f t="shared" si="1"/>
        <v/>
      </c>
      <c r="E270" s="45" t="str">
        <f t="shared" si="2"/>
        <v/>
      </c>
      <c r="F270" s="45" t="str">
        <f t="shared" si="3"/>
        <v/>
      </c>
      <c r="G270" s="45" t="str">
        <f t="shared" si="4"/>
        <v/>
      </c>
      <c r="H270" s="45" t="str">
        <f t="shared" si="5"/>
        <v/>
      </c>
      <c r="I270" s="45" t="str">
        <f t="shared" si="6"/>
        <v/>
      </c>
      <c r="J270" s="43"/>
    </row>
    <row r="271">
      <c r="A271" s="40" t="str">
        <f t="shared" si="8"/>
        <v/>
      </c>
      <c r="B271" s="44" t="str">
        <f t="shared" si="9"/>
        <v/>
      </c>
      <c r="C271" s="45" t="str">
        <f t="shared" si="10"/>
        <v/>
      </c>
      <c r="D271" s="45" t="str">
        <f t="shared" si="1"/>
        <v/>
      </c>
      <c r="E271" s="45" t="str">
        <f t="shared" si="2"/>
        <v/>
      </c>
      <c r="F271" s="45" t="str">
        <f t="shared" si="3"/>
        <v/>
      </c>
      <c r="G271" s="45" t="str">
        <f t="shared" si="4"/>
        <v/>
      </c>
      <c r="H271" s="45" t="str">
        <f t="shared" si="5"/>
        <v/>
      </c>
      <c r="I271" s="45" t="str">
        <f t="shared" si="6"/>
        <v/>
      </c>
      <c r="J271" s="43"/>
    </row>
    <row r="272">
      <c r="A272" s="40" t="str">
        <f t="shared" si="8"/>
        <v/>
      </c>
      <c r="B272" s="44" t="str">
        <f t="shared" si="9"/>
        <v/>
      </c>
      <c r="C272" s="45" t="str">
        <f t="shared" si="10"/>
        <v/>
      </c>
      <c r="D272" s="45" t="str">
        <f t="shared" si="1"/>
        <v/>
      </c>
      <c r="E272" s="45" t="str">
        <f t="shared" si="2"/>
        <v/>
      </c>
      <c r="F272" s="45" t="str">
        <f t="shared" si="3"/>
        <v/>
      </c>
      <c r="G272" s="45" t="str">
        <f t="shared" si="4"/>
        <v/>
      </c>
      <c r="H272" s="45" t="str">
        <f t="shared" si="5"/>
        <v/>
      </c>
      <c r="I272" s="45" t="str">
        <f t="shared" si="6"/>
        <v/>
      </c>
      <c r="J272" s="43"/>
    </row>
    <row r="273">
      <c r="A273" s="40" t="str">
        <f t="shared" si="8"/>
        <v/>
      </c>
      <c r="B273" s="44" t="str">
        <f t="shared" si="9"/>
        <v/>
      </c>
      <c r="C273" s="45" t="str">
        <f t="shared" si="10"/>
        <v/>
      </c>
      <c r="D273" s="45" t="str">
        <f t="shared" si="1"/>
        <v/>
      </c>
      <c r="E273" s="45" t="str">
        <f t="shared" si="2"/>
        <v/>
      </c>
      <c r="F273" s="45" t="str">
        <f t="shared" si="3"/>
        <v/>
      </c>
      <c r="G273" s="45" t="str">
        <f t="shared" si="4"/>
        <v/>
      </c>
      <c r="H273" s="45" t="str">
        <f t="shared" si="5"/>
        <v/>
      </c>
      <c r="I273" s="45" t="str">
        <f t="shared" si="6"/>
        <v/>
      </c>
      <c r="J273" s="43"/>
    </row>
    <row r="274">
      <c r="A274" s="40" t="str">
        <f t="shared" si="8"/>
        <v/>
      </c>
      <c r="B274" s="44" t="str">
        <f t="shared" si="9"/>
        <v/>
      </c>
      <c r="C274" s="45" t="str">
        <f t="shared" si="10"/>
        <v/>
      </c>
      <c r="D274" s="45" t="str">
        <f t="shared" si="1"/>
        <v/>
      </c>
      <c r="E274" s="45" t="str">
        <f t="shared" si="2"/>
        <v/>
      </c>
      <c r="F274" s="45" t="str">
        <f t="shared" si="3"/>
        <v/>
      </c>
      <c r="G274" s="45" t="str">
        <f t="shared" si="4"/>
        <v/>
      </c>
      <c r="H274" s="45" t="str">
        <f t="shared" si="5"/>
        <v/>
      </c>
      <c r="I274" s="45" t="str">
        <f t="shared" si="6"/>
        <v/>
      </c>
      <c r="J274" s="43"/>
    </row>
    <row r="275">
      <c r="A275" s="40" t="str">
        <f t="shared" si="8"/>
        <v/>
      </c>
      <c r="B275" s="44" t="str">
        <f t="shared" si="9"/>
        <v/>
      </c>
      <c r="C275" s="45" t="str">
        <f t="shared" si="10"/>
        <v/>
      </c>
      <c r="D275" s="45" t="str">
        <f t="shared" si="1"/>
        <v/>
      </c>
      <c r="E275" s="45" t="str">
        <f t="shared" si="2"/>
        <v/>
      </c>
      <c r="F275" s="45" t="str">
        <f t="shared" si="3"/>
        <v/>
      </c>
      <c r="G275" s="45" t="str">
        <f t="shared" si="4"/>
        <v/>
      </c>
      <c r="H275" s="45" t="str">
        <f t="shared" si="5"/>
        <v/>
      </c>
      <c r="I275" s="45" t="str">
        <f t="shared" si="6"/>
        <v/>
      </c>
      <c r="J275" s="43"/>
    </row>
    <row r="276">
      <c r="A276" s="40" t="str">
        <f t="shared" si="8"/>
        <v/>
      </c>
      <c r="B276" s="44" t="str">
        <f t="shared" si="9"/>
        <v/>
      </c>
      <c r="C276" s="45" t="str">
        <f t="shared" si="10"/>
        <v/>
      </c>
      <c r="D276" s="45" t="str">
        <f t="shared" si="1"/>
        <v/>
      </c>
      <c r="E276" s="45" t="str">
        <f t="shared" si="2"/>
        <v/>
      </c>
      <c r="F276" s="45" t="str">
        <f t="shared" si="3"/>
        <v/>
      </c>
      <c r="G276" s="45" t="str">
        <f t="shared" si="4"/>
        <v/>
      </c>
      <c r="H276" s="45" t="str">
        <f t="shared" si="5"/>
        <v/>
      </c>
      <c r="I276" s="45" t="str">
        <f t="shared" si="6"/>
        <v/>
      </c>
      <c r="J276" s="43"/>
    </row>
    <row r="277">
      <c r="A277" s="40" t="str">
        <f t="shared" si="8"/>
        <v/>
      </c>
      <c r="B277" s="44" t="str">
        <f t="shared" si="9"/>
        <v/>
      </c>
      <c r="C277" s="45" t="str">
        <f t="shared" si="10"/>
        <v/>
      </c>
      <c r="D277" s="45" t="str">
        <f t="shared" si="1"/>
        <v/>
      </c>
      <c r="E277" s="45" t="str">
        <f t="shared" si="2"/>
        <v/>
      </c>
      <c r="F277" s="45" t="str">
        <f t="shared" si="3"/>
        <v/>
      </c>
      <c r="G277" s="45" t="str">
        <f t="shared" si="4"/>
        <v/>
      </c>
      <c r="H277" s="45" t="str">
        <f t="shared" si="5"/>
        <v/>
      </c>
      <c r="I277" s="45" t="str">
        <f t="shared" si="6"/>
        <v/>
      </c>
      <c r="J277" s="43"/>
    </row>
    <row r="278">
      <c r="A278" s="40" t="str">
        <f t="shared" si="8"/>
        <v/>
      </c>
      <c r="B278" s="44" t="str">
        <f t="shared" si="9"/>
        <v/>
      </c>
      <c r="C278" s="45" t="str">
        <f t="shared" si="10"/>
        <v/>
      </c>
      <c r="D278" s="45" t="str">
        <f t="shared" si="1"/>
        <v/>
      </c>
      <c r="E278" s="45" t="str">
        <f t="shared" si="2"/>
        <v/>
      </c>
      <c r="F278" s="45" t="str">
        <f t="shared" si="3"/>
        <v/>
      </c>
      <c r="G278" s="45" t="str">
        <f t="shared" si="4"/>
        <v/>
      </c>
      <c r="H278" s="45" t="str">
        <f t="shared" si="5"/>
        <v/>
      </c>
      <c r="I278" s="45" t="str">
        <f t="shared" si="6"/>
        <v/>
      </c>
      <c r="J278" s="43"/>
    </row>
    <row r="279">
      <c r="A279" s="40" t="str">
        <f t="shared" si="8"/>
        <v/>
      </c>
      <c r="B279" s="44" t="str">
        <f t="shared" si="9"/>
        <v/>
      </c>
      <c r="C279" s="45" t="str">
        <f t="shared" si="10"/>
        <v/>
      </c>
      <c r="D279" s="45" t="str">
        <f t="shared" si="1"/>
        <v/>
      </c>
      <c r="E279" s="45" t="str">
        <f t="shared" si="2"/>
        <v/>
      </c>
      <c r="F279" s="45" t="str">
        <f t="shared" si="3"/>
        <v/>
      </c>
      <c r="G279" s="45" t="str">
        <f t="shared" si="4"/>
        <v/>
      </c>
      <c r="H279" s="45" t="str">
        <f t="shared" si="5"/>
        <v/>
      </c>
      <c r="I279" s="45" t="str">
        <f t="shared" si="6"/>
        <v/>
      </c>
      <c r="J279" s="43"/>
    </row>
    <row r="280">
      <c r="A280" s="40" t="str">
        <f t="shared" si="8"/>
        <v/>
      </c>
      <c r="B280" s="44" t="str">
        <f t="shared" si="9"/>
        <v/>
      </c>
      <c r="C280" s="45" t="str">
        <f t="shared" si="10"/>
        <v/>
      </c>
      <c r="D280" s="45" t="str">
        <f t="shared" si="1"/>
        <v/>
      </c>
      <c r="E280" s="45" t="str">
        <f t="shared" si="2"/>
        <v/>
      </c>
      <c r="F280" s="45" t="str">
        <f t="shared" si="3"/>
        <v/>
      </c>
      <c r="G280" s="45" t="str">
        <f t="shared" si="4"/>
        <v/>
      </c>
      <c r="H280" s="45" t="str">
        <f t="shared" si="5"/>
        <v/>
      </c>
      <c r="I280" s="45" t="str">
        <f t="shared" si="6"/>
        <v/>
      </c>
      <c r="J280" s="43"/>
    </row>
    <row r="281">
      <c r="A281" s="40" t="str">
        <f t="shared" si="8"/>
        <v/>
      </c>
      <c r="B281" s="44" t="str">
        <f t="shared" si="9"/>
        <v/>
      </c>
      <c r="C281" s="45" t="str">
        <f t="shared" si="10"/>
        <v/>
      </c>
      <c r="D281" s="45" t="str">
        <f t="shared" si="1"/>
        <v/>
      </c>
      <c r="E281" s="45" t="str">
        <f t="shared" si="2"/>
        <v/>
      </c>
      <c r="F281" s="45" t="str">
        <f t="shared" si="3"/>
        <v/>
      </c>
      <c r="G281" s="45" t="str">
        <f t="shared" si="4"/>
        <v/>
      </c>
      <c r="H281" s="45" t="str">
        <f t="shared" si="5"/>
        <v/>
      </c>
      <c r="I281" s="45" t="str">
        <f t="shared" si="6"/>
        <v/>
      </c>
      <c r="J281" s="43"/>
    </row>
    <row r="282">
      <c r="A282" s="40" t="str">
        <f t="shared" si="8"/>
        <v/>
      </c>
      <c r="B282" s="44" t="str">
        <f t="shared" si="9"/>
        <v/>
      </c>
      <c r="C282" s="45" t="str">
        <f t="shared" si="10"/>
        <v/>
      </c>
      <c r="D282" s="45" t="str">
        <f t="shared" si="1"/>
        <v/>
      </c>
      <c r="E282" s="45" t="str">
        <f t="shared" si="2"/>
        <v/>
      </c>
      <c r="F282" s="45" t="str">
        <f t="shared" si="3"/>
        <v/>
      </c>
      <c r="G282" s="45" t="str">
        <f t="shared" si="4"/>
        <v/>
      </c>
      <c r="H282" s="45" t="str">
        <f t="shared" si="5"/>
        <v/>
      </c>
      <c r="I282" s="45" t="str">
        <f t="shared" si="6"/>
        <v/>
      </c>
      <c r="J282" s="43"/>
    </row>
    <row r="283">
      <c r="A283" s="40" t="str">
        <f t="shared" si="8"/>
        <v/>
      </c>
      <c r="B283" s="44" t="str">
        <f t="shared" si="9"/>
        <v/>
      </c>
      <c r="C283" s="45" t="str">
        <f t="shared" si="10"/>
        <v/>
      </c>
      <c r="D283" s="45" t="str">
        <f t="shared" si="1"/>
        <v/>
      </c>
      <c r="E283" s="45" t="str">
        <f t="shared" si="2"/>
        <v/>
      </c>
      <c r="F283" s="45" t="str">
        <f t="shared" si="3"/>
        <v/>
      </c>
      <c r="G283" s="45" t="str">
        <f t="shared" si="4"/>
        <v/>
      </c>
      <c r="H283" s="45" t="str">
        <f t="shared" si="5"/>
        <v/>
      </c>
      <c r="I283" s="45" t="str">
        <f t="shared" si="6"/>
        <v/>
      </c>
      <c r="J283" s="43"/>
    </row>
    <row r="284">
      <c r="A284" s="40" t="str">
        <f t="shared" si="8"/>
        <v/>
      </c>
      <c r="B284" s="44" t="str">
        <f t="shared" si="9"/>
        <v/>
      </c>
      <c r="C284" s="45" t="str">
        <f t="shared" si="10"/>
        <v/>
      </c>
      <c r="D284" s="45" t="str">
        <f t="shared" si="1"/>
        <v/>
      </c>
      <c r="E284" s="45" t="str">
        <f t="shared" si="2"/>
        <v/>
      </c>
      <c r="F284" s="45" t="str">
        <f t="shared" si="3"/>
        <v/>
      </c>
      <c r="G284" s="45" t="str">
        <f t="shared" si="4"/>
        <v/>
      </c>
      <c r="H284" s="45" t="str">
        <f t="shared" si="5"/>
        <v/>
      </c>
      <c r="I284" s="45" t="str">
        <f t="shared" si="6"/>
        <v/>
      </c>
      <c r="J284" s="43"/>
    </row>
    <row r="285">
      <c r="A285" s="40" t="str">
        <f t="shared" si="8"/>
        <v/>
      </c>
      <c r="B285" s="44" t="str">
        <f t="shared" si="9"/>
        <v/>
      </c>
      <c r="C285" s="45" t="str">
        <f t="shared" si="10"/>
        <v/>
      </c>
      <c r="D285" s="45" t="str">
        <f t="shared" si="1"/>
        <v/>
      </c>
      <c r="E285" s="45" t="str">
        <f t="shared" si="2"/>
        <v/>
      </c>
      <c r="F285" s="45" t="str">
        <f t="shared" si="3"/>
        <v/>
      </c>
      <c r="G285" s="45" t="str">
        <f t="shared" si="4"/>
        <v/>
      </c>
      <c r="H285" s="45" t="str">
        <f t="shared" si="5"/>
        <v/>
      </c>
      <c r="I285" s="45" t="str">
        <f t="shared" si="6"/>
        <v/>
      </c>
      <c r="J285" s="43"/>
    </row>
    <row r="286">
      <c r="A286" s="40" t="str">
        <f t="shared" si="8"/>
        <v/>
      </c>
      <c r="B286" s="44" t="str">
        <f t="shared" si="9"/>
        <v/>
      </c>
      <c r="C286" s="45" t="str">
        <f t="shared" si="10"/>
        <v/>
      </c>
      <c r="D286" s="45" t="str">
        <f t="shared" si="1"/>
        <v/>
      </c>
      <c r="E286" s="45" t="str">
        <f t="shared" si="2"/>
        <v/>
      </c>
      <c r="F286" s="45" t="str">
        <f t="shared" si="3"/>
        <v/>
      </c>
      <c r="G286" s="45" t="str">
        <f t="shared" si="4"/>
        <v/>
      </c>
      <c r="H286" s="45" t="str">
        <f t="shared" si="5"/>
        <v/>
      </c>
      <c r="I286" s="45" t="str">
        <f t="shared" si="6"/>
        <v/>
      </c>
      <c r="J286" s="43"/>
    </row>
    <row r="287">
      <c r="A287" s="40" t="str">
        <f t="shared" si="8"/>
        <v/>
      </c>
      <c r="B287" s="44" t="str">
        <f t="shared" si="9"/>
        <v/>
      </c>
      <c r="C287" s="45" t="str">
        <f t="shared" si="10"/>
        <v/>
      </c>
      <c r="D287" s="45" t="str">
        <f t="shared" si="1"/>
        <v/>
      </c>
      <c r="E287" s="45" t="str">
        <f t="shared" si="2"/>
        <v/>
      </c>
      <c r="F287" s="45" t="str">
        <f t="shared" si="3"/>
        <v/>
      </c>
      <c r="G287" s="45" t="str">
        <f t="shared" si="4"/>
        <v/>
      </c>
      <c r="H287" s="45" t="str">
        <f t="shared" si="5"/>
        <v/>
      </c>
      <c r="I287" s="45" t="str">
        <f t="shared" si="6"/>
        <v/>
      </c>
      <c r="J287" s="43"/>
    </row>
    <row r="288">
      <c r="A288" s="40" t="str">
        <f t="shared" si="8"/>
        <v/>
      </c>
      <c r="B288" s="44" t="str">
        <f t="shared" si="9"/>
        <v/>
      </c>
      <c r="C288" s="45" t="str">
        <f t="shared" si="10"/>
        <v/>
      </c>
      <c r="D288" s="45" t="str">
        <f t="shared" si="1"/>
        <v/>
      </c>
      <c r="E288" s="45" t="str">
        <f t="shared" si="2"/>
        <v/>
      </c>
      <c r="F288" s="45" t="str">
        <f t="shared" si="3"/>
        <v/>
      </c>
      <c r="G288" s="45" t="str">
        <f t="shared" si="4"/>
        <v/>
      </c>
      <c r="H288" s="45" t="str">
        <f t="shared" si="5"/>
        <v/>
      </c>
      <c r="I288" s="45" t="str">
        <f t="shared" si="6"/>
        <v/>
      </c>
      <c r="J288" s="43"/>
    </row>
    <row r="289">
      <c r="A289" s="40" t="str">
        <f t="shared" si="8"/>
        <v/>
      </c>
      <c r="B289" s="44" t="str">
        <f t="shared" si="9"/>
        <v/>
      </c>
      <c r="C289" s="45" t="str">
        <f t="shared" si="10"/>
        <v/>
      </c>
      <c r="D289" s="45" t="str">
        <f t="shared" si="1"/>
        <v/>
      </c>
      <c r="E289" s="45" t="str">
        <f t="shared" si="2"/>
        <v/>
      </c>
      <c r="F289" s="45" t="str">
        <f t="shared" si="3"/>
        <v/>
      </c>
      <c r="G289" s="45" t="str">
        <f t="shared" si="4"/>
        <v/>
      </c>
      <c r="H289" s="45" t="str">
        <f t="shared" si="5"/>
        <v/>
      </c>
      <c r="I289" s="45" t="str">
        <f t="shared" si="6"/>
        <v/>
      </c>
      <c r="J289" s="43"/>
    </row>
    <row r="290">
      <c r="A290" s="40" t="str">
        <f t="shared" si="8"/>
        <v/>
      </c>
      <c r="B290" s="44" t="str">
        <f t="shared" si="9"/>
        <v/>
      </c>
      <c r="C290" s="45" t="str">
        <f t="shared" si="10"/>
        <v/>
      </c>
      <c r="D290" s="45" t="str">
        <f t="shared" si="1"/>
        <v/>
      </c>
      <c r="E290" s="45" t="str">
        <f t="shared" si="2"/>
        <v/>
      </c>
      <c r="F290" s="45" t="str">
        <f t="shared" si="3"/>
        <v/>
      </c>
      <c r="G290" s="45" t="str">
        <f t="shared" si="4"/>
        <v/>
      </c>
      <c r="H290" s="45" t="str">
        <f t="shared" si="5"/>
        <v/>
      </c>
      <c r="I290" s="45" t="str">
        <f t="shared" si="6"/>
        <v/>
      </c>
      <c r="J290" s="43"/>
    </row>
    <row r="291">
      <c r="A291" s="40" t="str">
        <f t="shared" si="8"/>
        <v/>
      </c>
      <c r="B291" s="44" t="str">
        <f t="shared" si="9"/>
        <v/>
      </c>
      <c r="C291" s="45" t="str">
        <f t="shared" si="10"/>
        <v/>
      </c>
      <c r="D291" s="45" t="str">
        <f t="shared" si="1"/>
        <v/>
      </c>
      <c r="E291" s="45" t="str">
        <f t="shared" si="2"/>
        <v/>
      </c>
      <c r="F291" s="45" t="str">
        <f t="shared" si="3"/>
        <v/>
      </c>
      <c r="G291" s="45" t="str">
        <f t="shared" si="4"/>
        <v/>
      </c>
      <c r="H291" s="45" t="str">
        <f t="shared" si="5"/>
        <v/>
      </c>
      <c r="I291" s="45" t="str">
        <f t="shared" si="6"/>
        <v/>
      </c>
      <c r="J291" s="43"/>
    </row>
    <row r="292">
      <c r="A292" s="40" t="str">
        <f t="shared" si="8"/>
        <v/>
      </c>
      <c r="B292" s="44" t="str">
        <f t="shared" si="9"/>
        <v/>
      </c>
      <c r="C292" s="45" t="str">
        <f t="shared" si="10"/>
        <v/>
      </c>
      <c r="D292" s="45" t="str">
        <f t="shared" si="1"/>
        <v/>
      </c>
      <c r="E292" s="45" t="str">
        <f t="shared" si="2"/>
        <v/>
      </c>
      <c r="F292" s="45" t="str">
        <f t="shared" si="3"/>
        <v/>
      </c>
      <c r="G292" s="45" t="str">
        <f t="shared" si="4"/>
        <v/>
      </c>
      <c r="H292" s="45" t="str">
        <f t="shared" si="5"/>
        <v/>
      </c>
      <c r="I292" s="45" t="str">
        <f t="shared" si="6"/>
        <v/>
      </c>
      <c r="J292" s="43"/>
    </row>
    <row r="293">
      <c r="A293" s="40" t="str">
        <f t="shared" si="8"/>
        <v/>
      </c>
      <c r="B293" s="44" t="str">
        <f t="shared" si="9"/>
        <v/>
      </c>
      <c r="C293" s="45" t="str">
        <f t="shared" si="10"/>
        <v/>
      </c>
      <c r="D293" s="45" t="str">
        <f t="shared" si="1"/>
        <v/>
      </c>
      <c r="E293" s="45" t="str">
        <f t="shared" si="2"/>
        <v/>
      </c>
      <c r="F293" s="45" t="str">
        <f t="shared" si="3"/>
        <v/>
      </c>
      <c r="G293" s="45" t="str">
        <f t="shared" si="4"/>
        <v/>
      </c>
      <c r="H293" s="45" t="str">
        <f t="shared" si="5"/>
        <v/>
      </c>
      <c r="I293" s="45" t="str">
        <f t="shared" si="6"/>
        <v/>
      </c>
      <c r="J293" s="43"/>
    </row>
    <row r="294">
      <c r="A294" s="40" t="str">
        <f t="shared" si="8"/>
        <v/>
      </c>
      <c r="B294" s="44" t="str">
        <f t="shared" si="9"/>
        <v/>
      </c>
      <c r="C294" s="45" t="str">
        <f t="shared" si="10"/>
        <v/>
      </c>
      <c r="D294" s="45" t="str">
        <f t="shared" si="1"/>
        <v/>
      </c>
      <c r="E294" s="45" t="str">
        <f t="shared" si="2"/>
        <v/>
      </c>
      <c r="F294" s="45" t="str">
        <f t="shared" si="3"/>
        <v/>
      </c>
      <c r="G294" s="45" t="str">
        <f t="shared" si="4"/>
        <v/>
      </c>
      <c r="H294" s="45" t="str">
        <f t="shared" si="5"/>
        <v/>
      </c>
      <c r="I294" s="45" t="str">
        <f t="shared" si="6"/>
        <v/>
      </c>
      <c r="J294" s="43"/>
    </row>
    <row r="295">
      <c r="A295" s="40" t="str">
        <f t="shared" si="8"/>
        <v/>
      </c>
      <c r="B295" s="44" t="str">
        <f t="shared" si="9"/>
        <v/>
      </c>
      <c r="C295" s="45" t="str">
        <f t="shared" si="10"/>
        <v/>
      </c>
      <c r="D295" s="45" t="str">
        <f t="shared" si="1"/>
        <v/>
      </c>
      <c r="E295" s="45" t="str">
        <f t="shared" si="2"/>
        <v/>
      </c>
      <c r="F295" s="45" t="str">
        <f t="shared" si="3"/>
        <v/>
      </c>
      <c r="G295" s="45" t="str">
        <f t="shared" si="4"/>
        <v/>
      </c>
      <c r="H295" s="45" t="str">
        <f t="shared" si="5"/>
        <v/>
      </c>
      <c r="I295" s="45" t="str">
        <f t="shared" si="6"/>
        <v/>
      </c>
      <c r="J295" s="43"/>
    </row>
    <row r="296">
      <c r="A296" s="40" t="str">
        <f t="shared" si="8"/>
        <v/>
      </c>
      <c r="B296" s="44" t="str">
        <f t="shared" si="9"/>
        <v/>
      </c>
      <c r="C296" s="45" t="str">
        <f t="shared" si="10"/>
        <v/>
      </c>
      <c r="D296" s="45" t="str">
        <f t="shared" si="1"/>
        <v/>
      </c>
      <c r="E296" s="45" t="str">
        <f t="shared" si="2"/>
        <v/>
      </c>
      <c r="F296" s="45" t="str">
        <f t="shared" si="3"/>
        <v/>
      </c>
      <c r="G296" s="45" t="str">
        <f t="shared" si="4"/>
        <v/>
      </c>
      <c r="H296" s="45" t="str">
        <f t="shared" si="5"/>
        <v/>
      </c>
      <c r="I296" s="45" t="str">
        <f t="shared" si="6"/>
        <v/>
      </c>
      <c r="J296" s="43"/>
    </row>
    <row r="297">
      <c r="A297" s="40" t="str">
        <f t="shared" si="8"/>
        <v/>
      </c>
      <c r="B297" s="44" t="str">
        <f t="shared" si="9"/>
        <v/>
      </c>
      <c r="C297" s="45" t="str">
        <f t="shared" si="10"/>
        <v/>
      </c>
      <c r="D297" s="45" t="str">
        <f t="shared" si="1"/>
        <v/>
      </c>
      <c r="E297" s="45" t="str">
        <f t="shared" si="2"/>
        <v/>
      </c>
      <c r="F297" s="45" t="str">
        <f t="shared" si="3"/>
        <v/>
      </c>
      <c r="G297" s="45" t="str">
        <f t="shared" si="4"/>
        <v/>
      </c>
      <c r="H297" s="45" t="str">
        <f t="shared" si="5"/>
        <v/>
      </c>
      <c r="I297" s="45" t="str">
        <f t="shared" si="6"/>
        <v/>
      </c>
      <c r="J297" s="43"/>
    </row>
    <row r="298">
      <c r="A298" s="40" t="str">
        <f t="shared" si="8"/>
        <v/>
      </c>
      <c r="B298" s="44" t="str">
        <f t="shared" si="9"/>
        <v/>
      </c>
      <c r="C298" s="45" t="str">
        <f t="shared" si="10"/>
        <v/>
      </c>
      <c r="D298" s="45" t="str">
        <f t="shared" si="1"/>
        <v/>
      </c>
      <c r="E298" s="45" t="str">
        <f t="shared" si="2"/>
        <v/>
      </c>
      <c r="F298" s="45" t="str">
        <f t="shared" si="3"/>
        <v/>
      </c>
      <c r="G298" s="45" t="str">
        <f t="shared" si="4"/>
        <v/>
      </c>
      <c r="H298" s="45" t="str">
        <f t="shared" si="5"/>
        <v/>
      </c>
      <c r="I298" s="45" t="str">
        <f t="shared" si="6"/>
        <v/>
      </c>
      <c r="J298" s="43"/>
    </row>
    <row r="299">
      <c r="A299" s="40" t="str">
        <f t="shared" si="8"/>
        <v/>
      </c>
      <c r="B299" s="44" t="str">
        <f t="shared" si="9"/>
        <v/>
      </c>
      <c r="C299" s="45" t="str">
        <f t="shared" si="10"/>
        <v/>
      </c>
      <c r="D299" s="45" t="str">
        <f t="shared" si="1"/>
        <v/>
      </c>
      <c r="E299" s="45" t="str">
        <f t="shared" si="2"/>
        <v/>
      </c>
      <c r="F299" s="45" t="str">
        <f t="shared" si="3"/>
        <v/>
      </c>
      <c r="G299" s="45" t="str">
        <f t="shared" si="4"/>
        <v/>
      </c>
      <c r="H299" s="45" t="str">
        <f t="shared" si="5"/>
        <v/>
      </c>
      <c r="I299" s="45" t="str">
        <f t="shared" si="6"/>
        <v/>
      </c>
      <c r="J299" s="43"/>
    </row>
    <row r="300">
      <c r="A300" s="40" t="str">
        <f t="shared" si="8"/>
        <v/>
      </c>
      <c r="B300" s="44" t="str">
        <f t="shared" si="9"/>
        <v/>
      </c>
      <c r="C300" s="45" t="str">
        <f t="shared" si="10"/>
        <v/>
      </c>
      <c r="D300" s="45" t="str">
        <f t="shared" si="1"/>
        <v/>
      </c>
      <c r="E300" s="45" t="str">
        <f t="shared" si="2"/>
        <v/>
      </c>
      <c r="F300" s="45" t="str">
        <f t="shared" si="3"/>
        <v/>
      </c>
      <c r="G300" s="45" t="str">
        <f t="shared" si="4"/>
        <v/>
      </c>
      <c r="H300" s="45" t="str">
        <f t="shared" si="5"/>
        <v/>
      </c>
      <c r="I300" s="45" t="str">
        <f t="shared" si="6"/>
        <v/>
      </c>
      <c r="J300" s="43"/>
    </row>
    <row r="301">
      <c r="A301" s="40" t="str">
        <f t="shared" si="8"/>
        <v/>
      </c>
      <c r="B301" s="44" t="str">
        <f t="shared" si="9"/>
        <v/>
      </c>
      <c r="C301" s="45" t="str">
        <f t="shared" si="10"/>
        <v/>
      </c>
      <c r="D301" s="45" t="str">
        <f t="shared" si="1"/>
        <v/>
      </c>
      <c r="E301" s="45" t="str">
        <f t="shared" si="2"/>
        <v/>
      </c>
      <c r="F301" s="45" t="str">
        <f t="shared" si="3"/>
        <v/>
      </c>
      <c r="G301" s="45" t="str">
        <f t="shared" si="4"/>
        <v/>
      </c>
      <c r="H301" s="45" t="str">
        <f t="shared" si="5"/>
        <v/>
      </c>
      <c r="I301" s="45" t="str">
        <f t="shared" si="6"/>
        <v/>
      </c>
      <c r="J301" s="43"/>
    </row>
    <row r="302">
      <c r="A302" s="40" t="str">
        <f t="shared" si="8"/>
        <v/>
      </c>
      <c r="B302" s="44" t="str">
        <f t="shared" si="9"/>
        <v/>
      </c>
      <c r="C302" s="45" t="str">
        <f t="shared" si="10"/>
        <v/>
      </c>
      <c r="D302" s="45" t="str">
        <f t="shared" si="1"/>
        <v/>
      </c>
      <c r="E302" s="45" t="str">
        <f t="shared" si="2"/>
        <v/>
      </c>
      <c r="F302" s="45" t="str">
        <f t="shared" si="3"/>
        <v/>
      </c>
      <c r="G302" s="45" t="str">
        <f t="shared" si="4"/>
        <v/>
      </c>
      <c r="H302" s="45" t="str">
        <f t="shared" si="5"/>
        <v/>
      </c>
      <c r="I302" s="45" t="str">
        <f t="shared" si="6"/>
        <v/>
      </c>
      <c r="J302" s="43"/>
    </row>
    <row r="303">
      <c r="A303" s="40" t="str">
        <f t="shared" si="8"/>
        <v/>
      </c>
      <c r="B303" s="44" t="str">
        <f t="shared" si="9"/>
        <v/>
      </c>
      <c r="C303" s="45" t="str">
        <f t="shared" si="10"/>
        <v/>
      </c>
      <c r="D303" s="45" t="str">
        <f t="shared" si="1"/>
        <v/>
      </c>
      <c r="E303" s="45" t="str">
        <f t="shared" si="2"/>
        <v/>
      </c>
      <c r="F303" s="45" t="str">
        <f t="shared" si="3"/>
        <v/>
      </c>
      <c r="G303" s="45" t="str">
        <f t="shared" si="4"/>
        <v/>
      </c>
      <c r="H303" s="45" t="str">
        <f t="shared" si="5"/>
        <v/>
      </c>
      <c r="I303" s="45" t="str">
        <f t="shared" si="6"/>
        <v/>
      </c>
      <c r="J303" s="43"/>
    </row>
    <row r="304">
      <c r="A304" s="40" t="str">
        <f t="shared" si="8"/>
        <v/>
      </c>
      <c r="B304" s="44" t="str">
        <f t="shared" si="9"/>
        <v/>
      </c>
      <c r="C304" s="45" t="str">
        <f t="shared" si="10"/>
        <v/>
      </c>
      <c r="D304" s="45" t="str">
        <f t="shared" si="1"/>
        <v/>
      </c>
      <c r="E304" s="45" t="str">
        <f t="shared" si="2"/>
        <v/>
      </c>
      <c r="F304" s="45" t="str">
        <f t="shared" si="3"/>
        <v/>
      </c>
      <c r="G304" s="45" t="str">
        <f t="shared" si="4"/>
        <v/>
      </c>
      <c r="H304" s="45" t="str">
        <f t="shared" si="5"/>
        <v/>
      </c>
      <c r="I304" s="45" t="str">
        <f t="shared" si="6"/>
        <v/>
      </c>
      <c r="J304" s="43"/>
    </row>
    <row r="305">
      <c r="A305" s="40" t="str">
        <f t="shared" si="8"/>
        <v/>
      </c>
      <c r="B305" s="44" t="str">
        <f t="shared" si="9"/>
        <v/>
      </c>
      <c r="C305" s="45" t="str">
        <f t="shared" si="10"/>
        <v/>
      </c>
      <c r="D305" s="45" t="str">
        <f t="shared" si="1"/>
        <v/>
      </c>
      <c r="E305" s="45" t="str">
        <f t="shared" si="2"/>
        <v/>
      </c>
      <c r="F305" s="45" t="str">
        <f t="shared" si="3"/>
        <v/>
      </c>
      <c r="G305" s="45" t="str">
        <f t="shared" si="4"/>
        <v/>
      </c>
      <c r="H305" s="45" t="str">
        <f t="shared" si="5"/>
        <v/>
      </c>
      <c r="I305" s="45" t="str">
        <f t="shared" si="6"/>
        <v/>
      </c>
      <c r="J305" s="43"/>
    </row>
    <row r="306">
      <c r="A306" s="40" t="str">
        <f t="shared" si="8"/>
        <v/>
      </c>
      <c r="B306" s="44" t="str">
        <f t="shared" si="9"/>
        <v/>
      </c>
      <c r="C306" s="45" t="str">
        <f t="shared" si="10"/>
        <v/>
      </c>
      <c r="D306" s="45" t="str">
        <f t="shared" si="1"/>
        <v/>
      </c>
      <c r="E306" s="45" t="str">
        <f t="shared" si="2"/>
        <v/>
      </c>
      <c r="F306" s="45" t="str">
        <f t="shared" si="3"/>
        <v/>
      </c>
      <c r="G306" s="45" t="str">
        <f t="shared" si="4"/>
        <v/>
      </c>
      <c r="H306" s="45" t="str">
        <f t="shared" si="5"/>
        <v/>
      </c>
      <c r="I306" s="45" t="str">
        <f t="shared" si="6"/>
        <v/>
      </c>
      <c r="J306" s="43"/>
    </row>
    <row r="307">
      <c r="A307" s="40" t="str">
        <f t="shared" si="8"/>
        <v/>
      </c>
      <c r="B307" s="44" t="str">
        <f t="shared" si="9"/>
        <v/>
      </c>
      <c r="C307" s="45" t="str">
        <f t="shared" si="10"/>
        <v/>
      </c>
      <c r="D307" s="45" t="str">
        <f t="shared" si="1"/>
        <v/>
      </c>
      <c r="E307" s="45" t="str">
        <f t="shared" si="2"/>
        <v/>
      </c>
      <c r="F307" s="45" t="str">
        <f t="shared" si="3"/>
        <v/>
      </c>
      <c r="G307" s="45" t="str">
        <f t="shared" si="4"/>
        <v/>
      </c>
      <c r="H307" s="45" t="str">
        <f t="shared" si="5"/>
        <v/>
      </c>
      <c r="I307" s="45" t="str">
        <f t="shared" si="6"/>
        <v/>
      </c>
      <c r="J307" s="43"/>
    </row>
    <row r="308">
      <c r="A308" s="40" t="str">
        <f t="shared" si="8"/>
        <v/>
      </c>
      <c r="B308" s="44" t="str">
        <f t="shared" si="9"/>
        <v/>
      </c>
      <c r="C308" s="45" t="str">
        <f t="shared" si="10"/>
        <v/>
      </c>
      <c r="D308" s="45" t="str">
        <f t="shared" si="1"/>
        <v/>
      </c>
      <c r="E308" s="45" t="str">
        <f t="shared" si="2"/>
        <v/>
      </c>
      <c r="F308" s="45" t="str">
        <f t="shared" si="3"/>
        <v/>
      </c>
      <c r="G308" s="45" t="str">
        <f t="shared" si="4"/>
        <v/>
      </c>
      <c r="H308" s="45" t="str">
        <f t="shared" si="5"/>
        <v/>
      </c>
      <c r="I308" s="45" t="str">
        <f t="shared" si="6"/>
        <v/>
      </c>
      <c r="J308" s="43"/>
    </row>
    <row r="309">
      <c r="A309" s="40" t="str">
        <f t="shared" si="8"/>
        <v/>
      </c>
      <c r="B309" s="44" t="str">
        <f t="shared" si="9"/>
        <v/>
      </c>
      <c r="C309" s="45" t="str">
        <f t="shared" si="10"/>
        <v/>
      </c>
      <c r="D309" s="45" t="str">
        <f t="shared" si="1"/>
        <v/>
      </c>
      <c r="E309" s="45" t="str">
        <f t="shared" si="2"/>
        <v/>
      </c>
      <c r="F309" s="45" t="str">
        <f t="shared" si="3"/>
        <v/>
      </c>
      <c r="G309" s="45" t="str">
        <f t="shared" si="4"/>
        <v/>
      </c>
      <c r="H309" s="45" t="str">
        <f t="shared" si="5"/>
        <v/>
      </c>
      <c r="I309" s="45" t="str">
        <f t="shared" si="6"/>
        <v/>
      </c>
      <c r="J309" s="43"/>
    </row>
    <row r="310">
      <c r="A310" s="40" t="str">
        <f t="shared" si="8"/>
        <v/>
      </c>
      <c r="B310" s="44" t="str">
        <f t="shared" si="9"/>
        <v/>
      </c>
      <c r="C310" s="45" t="str">
        <f t="shared" si="10"/>
        <v/>
      </c>
      <c r="D310" s="45" t="str">
        <f t="shared" si="1"/>
        <v/>
      </c>
      <c r="E310" s="45" t="str">
        <f t="shared" si="2"/>
        <v/>
      </c>
      <c r="F310" s="45" t="str">
        <f t="shared" si="3"/>
        <v/>
      </c>
      <c r="G310" s="45" t="str">
        <f t="shared" si="4"/>
        <v/>
      </c>
      <c r="H310" s="45" t="str">
        <f t="shared" si="5"/>
        <v/>
      </c>
      <c r="I310" s="45" t="str">
        <f t="shared" si="6"/>
        <v/>
      </c>
      <c r="J310" s="43"/>
    </row>
    <row r="311">
      <c r="A311" s="40" t="str">
        <f t="shared" si="8"/>
        <v/>
      </c>
      <c r="B311" s="44" t="str">
        <f t="shared" si="9"/>
        <v/>
      </c>
      <c r="C311" s="45" t="str">
        <f t="shared" si="10"/>
        <v/>
      </c>
      <c r="D311" s="45" t="str">
        <f t="shared" si="1"/>
        <v/>
      </c>
      <c r="E311" s="45" t="str">
        <f t="shared" si="2"/>
        <v/>
      </c>
      <c r="F311" s="45" t="str">
        <f t="shared" si="3"/>
        <v/>
      </c>
      <c r="G311" s="45" t="str">
        <f t="shared" si="4"/>
        <v/>
      </c>
      <c r="H311" s="45" t="str">
        <f t="shared" si="5"/>
        <v/>
      </c>
      <c r="I311" s="45" t="str">
        <f t="shared" si="6"/>
        <v/>
      </c>
      <c r="J311" s="43"/>
    </row>
    <row r="312">
      <c r="A312" s="40" t="str">
        <f t="shared" si="8"/>
        <v/>
      </c>
      <c r="B312" s="44" t="str">
        <f t="shared" si="9"/>
        <v/>
      </c>
      <c r="C312" s="45" t="str">
        <f t="shared" si="10"/>
        <v/>
      </c>
      <c r="D312" s="45" t="str">
        <f t="shared" si="1"/>
        <v/>
      </c>
      <c r="E312" s="45" t="str">
        <f t="shared" si="2"/>
        <v/>
      </c>
      <c r="F312" s="45" t="str">
        <f t="shared" si="3"/>
        <v/>
      </c>
      <c r="G312" s="45" t="str">
        <f t="shared" si="4"/>
        <v/>
      </c>
      <c r="H312" s="45" t="str">
        <f t="shared" si="5"/>
        <v/>
      </c>
      <c r="I312" s="45" t="str">
        <f t="shared" si="6"/>
        <v/>
      </c>
      <c r="J312" s="43"/>
    </row>
    <row r="313">
      <c r="A313" s="40" t="str">
        <f t="shared" si="8"/>
        <v/>
      </c>
      <c r="B313" s="44" t="str">
        <f t="shared" si="9"/>
        <v/>
      </c>
      <c r="C313" s="45" t="str">
        <f t="shared" si="10"/>
        <v/>
      </c>
      <c r="D313" s="45" t="str">
        <f t="shared" si="1"/>
        <v/>
      </c>
      <c r="E313" s="45" t="str">
        <f t="shared" si="2"/>
        <v/>
      </c>
      <c r="F313" s="45" t="str">
        <f t="shared" si="3"/>
        <v/>
      </c>
      <c r="G313" s="45" t="str">
        <f t="shared" si="4"/>
        <v/>
      </c>
      <c r="H313" s="45" t="str">
        <f t="shared" si="5"/>
        <v/>
      </c>
      <c r="I313" s="45" t="str">
        <f t="shared" si="6"/>
        <v/>
      </c>
      <c r="J313" s="43"/>
    </row>
    <row r="314">
      <c r="A314" s="40" t="str">
        <f t="shared" si="8"/>
        <v/>
      </c>
      <c r="B314" s="44" t="str">
        <f t="shared" si="9"/>
        <v/>
      </c>
      <c r="C314" s="45" t="str">
        <f t="shared" si="10"/>
        <v/>
      </c>
      <c r="D314" s="45" t="str">
        <f t="shared" si="1"/>
        <v/>
      </c>
      <c r="E314" s="45" t="str">
        <f t="shared" si="2"/>
        <v/>
      </c>
      <c r="F314" s="45" t="str">
        <f t="shared" si="3"/>
        <v/>
      </c>
      <c r="G314" s="45" t="str">
        <f t="shared" si="4"/>
        <v/>
      </c>
      <c r="H314" s="45" t="str">
        <f t="shared" si="5"/>
        <v/>
      </c>
      <c r="I314" s="45" t="str">
        <f t="shared" si="6"/>
        <v/>
      </c>
      <c r="J314" s="43"/>
    </row>
    <row r="315">
      <c r="A315" s="40" t="str">
        <f t="shared" si="8"/>
        <v/>
      </c>
      <c r="B315" s="44" t="str">
        <f t="shared" si="9"/>
        <v/>
      </c>
      <c r="C315" s="45" t="str">
        <f t="shared" si="10"/>
        <v/>
      </c>
      <c r="D315" s="45" t="str">
        <f t="shared" si="1"/>
        <v/>
      </c>
      <c r="E315" s="45" t="str">
        <f t="shared" si="2"/>
        <v/>
      </c>
      <c r="F315" s="45" t="str">
        <f t="shared" si="3"/>
        <v/>
      </c>
      <c r="G315" s="45" t="str">
        <f t="shared" si="4"/>
        <v/>
      </c>
      <c r="H315" s="45" t="str">
        <f t="shared" si="5"/>
        <v/>
      </c>
      <c r="I315" s="45" t="str">
        <f t="shared" si="6"/>
        <v/>
      </c>
      <c r="J315" s="43"/>
    </row>
    <row r="316">
      <c r="A316" s="40" t="str">
        <f t="shared" si="8"/>
        <v/>
      </c>
      <c r="B316" s="44" t="str">
        <f t="shared" si="9"/>
        <v/>
      </c>
      <c r="C316" s="45" t="str">
        <f t="shared" si="10"/>
        <v/>
      </c>
      <c r="D316" s="45" t="str">
        <f t="shared" si="1"/>
        <v/>
      </c>
      <c r="E316" s="45" t="str">
        <f t="shared" si="2"/>
        <v/>
      </c>
      <c r="F316" s="45" t="str">
        <f t="shared" si="3"/>
        <v/>
      </c>
      <c r="G316" s="45" t="str">
        <f t="shared" si="4"/>
        <v/>
      </c>
      <c r="H316" s="45" t="str">
        <f t="shared" si="5"/>
        <v/>
      </c>
      <c r="I316" s="45" t="str">
        <f t="shared" si="6"/>
        <v/>
      </c>
      <c r="J316" s="43"/>
    </row>
    <row r="317">
      <c r="A317" s="40" t="str">
        <f t="shared" si="8"/>
        <v/>
      </c>
      <c r="B317" s="44" t="str">
        <f t="shared" si="9"/>
        <v/>
      </c>
      <c r="C317" s="45" t="str">
        <f t="shared" si="10"/>
        <v/>
      </c>
      <c r="D317" s="45" t="str">
        <f t="shared" si="1"/>
        <v/>
      </c>
      <c r="E317" s="45" t="str">
        <f t="shared" si="2"/>
        <v/>
      </c>
      <c r="F317" s="45" t="str">
        <f t="shared" si="3"/>
        <v/>
      </c>
      <c r="G317" s="45" t="str">
        <f t="shared" si="4"/>
        <v/>
      </c>
      <c r="H317" s="45" t="str">
        <f t="shared" si="5"/>
        <v/>
      </c>
      <c r="I317" s="45" t="str">
        <f t="shared" si="6"/>
        <v/>
      </c>
      <c r="J317" s="43"/>
    </row>
    <row r="318">
      <c r="A318" s="40" t="str">
        <f t="shared" si="8"/>
        <v/>
      </c>
      <c r="B318" s="44" t="str">
        <f t="shared" si="9"/>
        <v/>
      </c>
      <c r="C318" s="45" t="str">
        <f t="shared" si="10"/>
        <v/>
      </c>
      <c r="D318" s="45" t="str">
        <f t="shared" si="1"/>
        <v/>
      </c>
      <c r="E318" s="45" t="str">
        <f t="shared" si="2"/>
        <v/>
      </c>
      <c r="F318" s="45" t="str">
        <f t="shared" si="3"/>
        <v/>
      </c>
      <c r="G318" s="45" t="str">
        <f t="shared" si="4"/>
        <v/>
      </c>
      <c r="H318" s="45" t="str">
        <f t="shared" si="5"/>
        <v/>
      </c>
      <c r="I318" s="45" t="str">
        <f t="shared" si="6"/>
        <v/>
      </c>
      <c r="J318" s="43"/>
    </row>
    <row r="319">
      <c r="A319" s="40" t="str">
        <f t="shared" si="8"/>
        <v/>
      </c>
      <c r="B319" s="44" t="str">
        <f t="shared" si="9"/>
        <v/>
      </c>
      <c r="C319" s="45" t="str">
        <f t="shared" si="10"/>
        <v/>
      </c>
      <c r="D319" s="45" t="str">
        <f t="shared" si="1"/>
        <v/>
      </c>
      <c r="E319" s="45" t="str">
        <f t="shared" si="2"/>
        <v/>
      </c>
      <c r="F319" s="45" t="str">
        <f t="shared" si="3"/>
        <v/>
      </c>
      <c r="G319" s="45" t="str">
        <f t="shared" si="4"/>
        <v/>
      </c>
      <c r="H319" s="45" t="str">
        <f t="shared" si="5"/>
        <v/>
      </c>
      <c r="I319" s="45" t="str">
        <f t="shared" si="6"/>
        <v/>
      </c>
      <c r="J319" s="43"/>
    </row>
    <row r="320">
      <c r="A320" s="40" t="str">
        <f t="shared" si="8"/>
        <v/>
      </c>
      <c r="B320" s="44" t="str">
        <f t="shared" si="9"/>
        <v/>
      </c>
      <c r="C320" s="45" t="str">
        <f t="shared" si="10"/>
        <v/>
      </c>
      <c r="D320" s="45" t="str">
        <f t="shared" si="1"/>
        <v/>
      </c>
      <c r="E320" s="45" t="str">
        <f t="shared" si="2"/>
        <v/>
      </c>
      <c r="F320" s="45" t="str">
        <f t="shared" si="3"/>
        <v/>
      </c>
      <c r="G320" s="45" t="str">
        <f t="shared" si="4"/>
        <v/>
      </c>
      <c r="H320" s="45" t="str">
        <f t="shared" si="5"/>
        <v/>
      </c>
      <c r="I320" s="45" t="str">
        <f t="shared" si="6"/>
        <v/>
      </c>
      <c r="J320" s="43"/>
    </row>
    <row r="321">
      <c r="A321" s="40" t="str">
        <f t="shared" si="8"/>
        <v/>
      </c>
      <c r="B321" s="44" t="str">
        <f t="shared" si="9"/>
        <v/>
      </c>
      <c r="C321" s="45" t="str">
        <f t="shared" si="10"/>
        <v/>
      </c>
      <c r="D321" s="45" t="str">
        <f t="shared" si="1"/>
        <v/>
      </c>
      <c r="E321" s="45" t="str">
        <f t="shared" si="2"/>
        <v/>
      </c>
      <c r="F321" s="45" t="str">
        <f t="shared" si="3"/>
        <v/>
      </c>
      <c r="G321" s="45" t="str">
        <f t="shared" si="4"/>
        <v/>
      </c>
      <c r="H321" s="45" t="str">
        <f t="shared" si="5"/>
        <v/>
      </c>
      <c r="I321" s="45" t="str">
        <f t="shared" si="6"/>
        <v/>
      </c>
      <c r="J321" s="43"/>
    </row>
    <row r="322">
      <c r="A322" s="40" t="str">
        <f t="shared" si="8"/>
        <v/>
      </c>
      <c r="B322" s="44" t="str">
        <f t="shared" si="9"/>
        <v/>
      </c>
      <c r="C322" s="45" t="str">
        <f t="shared" si="10"/>
        <v/>
      </c>
      <c r="D322" s="45" t="str">
        <f t="shared" si="1"/>
        <v/>
      </c>
      <c r="E322" s="45" t="str">
        <f t="shared" si="2"/>
        <v/>
      </c>
      <c r="F322" s="45" t="str">
        <f t="shared" si="3"/>
        <v/>
      </c>
      <c r="G322" s="45" t="str">
        <f t="shared" si="4"/>
        <v/>
      </c>
      <c r="H322" s="45" t="str">
        <f t="shared" si="5"/>
        <v/>
      </c>
      <c r="I322" s="45" t="str">
        <f t="shared" si="6"/>
        <v/>
      </c>
      <c r="J322" s="43"/>
    </row>
    <row r="323">
      <c r="A323" s="40" t="str">
        <f t="shared" si="8"/>
        <v/>
      </c>
      <c r="B323" s="44" t="str">
        <f t="shared" si="9"/>
        <v/>
      </c>
      <c r="C323" s="45" t="str">
        <f t="shared" si="10"/>
        <v/>
      </c>
      <c r="D323" s="45" t="str">
        <f t="shared" si="1"/>
        <v/>
      </c>
      <c r="E323" s="45" t="str">
        <f t="shared" si="2"/>
        <v/>
      </c>
      <c r="F323" s="45" t="str">
        <f t="shared" si="3"/>
        <v/>
      </c>
      <c r="G323" s="45" t="str">
        <f t="shared" si="4"/>
        <v/>
      </c>
      <c r="H323" s="45" t="str">
        <f t="shared" si="5"/>
        <v/>
      </c>
      <c r="I323" s="45" t="str">
        <f t="shared" si="6"/>
        <v/>
      </c>
      <c r="J323" s="43"/>
    </row>
    <row r="324">
      <c r="A324" s="40" t="str">
        <f t="shared" si="8"/>
        <v/>
      </c>
      <c r="B324" s="44" t="str">
        <f t="shared" si="9"/>
        <v/>
      </c>
      <c r="C324" s="45" t="str">
        <f t="shared" si="10"/>
        <v/>
      </c>
      <c r="D324" s="45" t="str">
        <f t="shared" si="1"/>
        <v/>
      </c>
      <c r="E324" s="45" t="str">
        <f t="shared" si="2"/>
        <v/>
      </c>
      <c r="F324" s="45" t="str">
        <f t="shared" si="3"/>
        <v/>
      </c>
      <c r="G324" s="45" t="str">
        <f t="shared" si="4"/>
        <v/>
      </c>
      <c r="H324" s="45" t="str">
        <f t="shared" si="5"/>
        <v/>
      </c>
      <c r="I324" s="45" t="str">
        <f t="shared" si="6"/>
        <v/>
      </c>
      <c r="J324" s="43"/>
    </row>
    <row r="325">
      <c r="A325" s="40" t="str">
        <f t="shared" si="8"/>
        <v/>
      </c>
      <c r="B325" s="44" t="str">
        <f t="shared" si="9"/>
        <v/>
      </c>
      <c r="C325" s="45" t="str">
        <f t="shared" si="10"/>
        <v/>
      </c>
      <c r="D325" s="45" t="str">
        <f t="shared" si="1"/>
        <v/>
      </c>
      <c r="E325" s="45" t="str">
        <f t="shared" si="2"/>
        <v/>
      </c>
      <c r="F325" s="45" t="str">
        <f t="shared" si="3"/>
        <v/>
      </c>
      <c r="G325" s="45" t="str">
        <f t="shared" si="4"/>
        <v/>
      </c>
      <c r="H325" s="45" t="str">
        <f t="shared" si="5"/>
        <v/>
      </c>
      <c r="I325" s="45" t="str">
        <f t="shared" si="6"/>
        <v/>
      </c>
      <c r="J325" s="43"/>
    </row>
    <row r="326">
      <c r="A326" s="40" t="str">
        <f t="shared" si="8"/>
        <v/>
      </c>
      <c r="B326" s="44" t="str">
        <f t="shared" si="9"/>
        <v/>
      </c>
      <c r="C326" s="45" t="str">
        <f t="shared" si="10"/>
        <v/>
      </c>
      <c r="D326" s="45" t="str">
        <f t="shared" si="1"/>
        <v/>
      </c>
      <c r="E326" s="45" t="str">
        <f t="shared" si="2"/>
        <v/>
      </c>
      <c r="F326" s="45" t="str">
        <f t="shared" si="3"/>
        <v/>
      </c>
      <c r="G326" s="45" t="str">
        <f t="shared" si="4"/>
        <v/>
      </c>
      <c r="H326" s="45" t="str">
        <f t="shared" si="5"/>
        <v/>
      </c>
      <c r="I326" s="45" t="str">
        <f t="shared" si="6"/>
        <v/>
      </c>
      <c r="J326" s="43"/>
    </row>
    <row r="327">
      <c r="A327" s="40" t="str">
        <f t="shared" si="8"/>
        <v/>
      </c>
      <c r="B327" s="44" t="str">
        <f t="shared" si="9"/>
        <v/>
      </c>
      <c r="C327" s="45" t="str">
        <f t="shared" si="10"/>
        <v/>
      </c>
      <c r="D327" s="45" t="str">
        <f t="shared" si="1"/>
        <v/>
      </c>
      <c r="E327" s="45" t="str">
        <f t="shared" si="2"/>
        <v/>
      </c>
      <c r="F327" s="45" t="str">
        <f t="shared" si="3"/>
        <v/>
      </c>
      <c r="G327" s="45" t="str">
        <f t="shared" si="4"/>
        <v/>
      </c>
      <c r="H327" s="45" t="str">
        <f t="shared" si="5"/>
        <v/>
      </c>
      <c r="I327" s="45" t="str">
        <f t="shared" si="6"/>
        <v/>
      </c>
      <c r="J327" s="43"/>
    </row>
    <row r="328">
      <c r="A328" s="40" t="str">
        <f t="shared" si="8"/>
        <v/>
      </c>
      <c r="B328" s="44" t="str">
        <f t="shared" si="9"/>
        <v/>
      </c>
      <c r="C328" s="45" t="str">
        <f t="shared" si="10"/>
        <v/>
      </c>
      <c r="D328" s="45" t="str">
        <f t="shared" si="1"/>
        <v/>
      </c>
      <c r="E328" s="45" t="str">
        <f t="shared" si="2"/>
        <v/>
      </c>
      <c r="F328" s="45" t="str">
        <f t="shared" si="3"/>
        <v/>
      </c>
      <c r="G328" s="45" t="str">
        <f t="shared" si="4"/>
        <v/>
      </c>
      <c r="H328" s="45" t="str">
        <f t="shared" si="5"/>
        <v/>
      </c>
      <c r="I328" s="45" t="str">
        <f t="shared" si="6"/>
        <v/>
      </c>
      <c r="J328" s="43"/>
    </row>
    <row r="329">
      <c r="A329" s="40" t="str">
        <f t="shared" si="8"/>
        <v/>
      </c>
      <c r="B329" s="44" t="str">
        <f t="shared" si="9"/>
        <v/>
      </c>
      <c r="C329" s="45" t="str">
        <f t="shared" si="10"/>
        <v/>
      </c>
      <c r="D329" s="45" t="str">
        <f t="shared" si="1"/>
        <v/>
      </c>
      <c r="E329" s="45" t="str">
        <f t="shared" si="2"/>
        <v/>
      </c>
      <c r="F329" s="45" t="str">
        <f t="shared" si="3"/>
        <v/>
      </c>
      <c r="G329" s="45" t="str">
        <f t="shared" si="4"/>
        <v/>
      </c>
      <c r="H329" s="45" t="str">
        <f t="shared" si="5"/>
        <v/>
      </c>
      <c r="I329" s="45" t="str">
        <f t="shared" si="6"/>
        <v/>
      </c>
      <c r="J329" s="43"/>
    </row>
    <row r="330">
      <c r="A330" s="40" t="str">
        <f t="shared" si="8"/>
        <v/>
      </c>
      <c r="B330" s="44" t="str">
        <f t="shared" si="9"/>
        <v/>
      </c>
      <c r="C330" s="45" t="str">
        <f t="shared" si="10"/>
        <v/>
      </c>
      <c r="D330" s="45" t="str">
        <f t="shared" si="1"/>
        <v/>
      </c>
      <c r="E330" s="45" t="str">
        <f t="shared" si="2"/>
        <v/>
      </c>
      <c r="F330" s="45" t="str">
        <f t="shared" si="3"/>
        <v/>
      </c>
      <c r="G330" s="45" t="str">
        <f t="shared" si="4"/>
        <v/>
      </c>
      <c r="H330" s="45" t="str">
        <f t="shared" si="5"/>
        <v/>
      </c>
      <c r="I330" s="45" t="str">
        <f t="shared" si="6"/>
        <v/>
      </c>
      <c r="J330" s="43"/>
    </row>
    <row r="331">
      <c r="A331" s="40" t="str">
        <f t="shared" si="8"/>
        <v/>
      </c>
      <c r="B331" s="44" t="str">
        <f t="shared" si="9"/>
        <v/>
      </c>
      <c r="C331" s="45" t="str">
        <f t="shared" si="10"/>
        <v/>
      </c>
      <c r="D331" s="45" t="str">
        <f t="shared" si="1"/>
        <v/>
      </c>
      <c r="E331" s="45" t="str">
        <f t="shared" si="2"/>
        <v/>
      </c>
      <c r="F331" s="45" t="str">
        <f t="shared" si="3"/>
        <v/>
      </c>
      <c r="G331" s="45" t="str">
        <f t="shared" si="4"/>
        <v/>
      </c>
      <c r="H331" s="45" t="str">
        <f t="shared" si="5"/>
        <v/>
      </c>
      <c r="I331" s="45" t="str">
        <f t="shared" si="6"/>
        <v/>
      </c>
      <c r="J331" s="43"/>
    </row>
    <row r="332">
      <c r="A332" s="40" t="str">
        <f t="shared" si="8"/>
        <v/>
      </c>
      <c r="B332" s="44" t="str">
        <f t="shared" si="9"/>
        <v/>
      </c>
      <c r="C332" s="45" t="str">
        <f t="shared" si="10"/>
        <v/>
      </c>
      <c r="D332" s="45" t="str">
        <f t="shared" si="1"/>
        <v/>
      </c>
      <c r="E332" s="45" t="str">
        <f t="shared" si="2"/>
        <v/>
      </c>
      <c r="F332" s="45" t="str">
        <f t="shared" si="3"/>
        <v/>
      </c>
      <c r="G332" s="45" t="str">
        <f t="shared" si="4"/>
        <v/>
      </c>
      <c r="H332" s="45" t="str">
        <f t="shared" si="5"/>
        <v/>
      </c>
      <c r="I332" s="45" t="str">
        <f t="shared" si="6"/>
        <v/>
      </c>
      <c r="J332" s="43"/>
    </row>
    <row r="333">
      <c r="A333" s="40" t="str">
        <f t="shared" si="8"/>
        <v/>
      </c>
      <c r="B333" s="44" t="str">
        <f t="shared" si="9"/>
        <v/>
      </c>
      <c r="C333" s="45" t="str">
        <f t="shared" si="10"/>
        <v/>
      </c>
      <c r="D333" s="45" t="str">
        <f t="shared" si="1"/>
        <v/>
      </c>
      <c r="E333" s="45" t="str">
        <f t="shared" si="2"/>
        <v/>
      </c>
      <c r="F333" s="45" t="str">
        <f t="shared" si="3"/>
        <v/>
      </c>
      <c r="G333" s="45" t="str">
        <f t="shared" si="4"/>
        <v/>
      </c>
      <c r="H333" s="45" t="str">
        <f t="shared" si="5"/>
        <v/>
      </c>
      <c r="I333" s="45" t="str">
        <f t="shared" si="6"/>
        <v/>
      </c>
      <c r="J333" s="43"/>
    </row>
    <row r="334">
      <c r="A334" s="40" t="str">
        <f t="shared" si="8"/>
        <v/>
      </c>
      <c r="B334" s="44" t="str">
        <f t="shared" si="9"/>
        <v/>
      </c>
      <c r="C334" s="45" t="str">
        <f t="shared" si="10"/>
        <v/>
      </c>
      <c r="D334" s="45" t="str">
        <f t="shared" si="1"/>
        <v/>
      </c>
      <c r="E334" s="45" t="str">
        <f t="shared" si="2"/>
        <v/>
      </c>
      <c r="F334" s="45" t="str">
        <f t="shared" si="3"/>
        <v/>
      </c>
      <c r="G334" s="45" t="str">
        <f t="shared" si="4"/>
        <v/>
      </c>
      <c r="H334" s="45" t="str">
        <f t="shared" si="5"/>
        <v/>
      </c>
      <c r="I334" s="45" t="str">
        <f t="shared" si="6"/>
        <v/>
      </c>
      <c r="J334" s="43"/>
    </row>
    <row r="335">
      <c r="A335" s="40" t="str">
        <f t="shared" si="8"/>
        <v/>
      </c>
      <c r="B335" s="44" t="str">
        <f t="shared" si="9"/>
        <v/>
      </c>
      <c r="C335" s="45" t="str">
        <f t="shared" si="10"/>
        <v/>
      </c>
      <c r="D335" s="45" t="str">
        <f t="shared" si="1"/>
        <v/>
      </c>
      <c r="E335" s="45" t="str">
        <f t="shared" si="2"/>
        <v/>
      </c>
      <c r="F335" s="45" t="str">
        <f t="shared" si="3"/>
        <v/>
      </c>
      <c r="G335" s="45" t="str">
        <f t="shared" si="4"/>
        <v/>
      </c>
      <c r="H335" s="45" t="str">
        <f t="shared" si="5"/>
        <v/>
      </c>
      <c r="I335" s="45" t="str">
        <f t="shared" si="6"/>
        <v/>
      </c>
      <c r="J335" s="43"/>
    </row>
    <row r="336">
      <c r="A336" s="40" t="str">
        <f t="shared" si="8"/>
        <v/>
      </c>
      <c r="B336" s="44" t="str">
        <f t="shared" si="9"/>
        <v/>
      </c>
      <c r="C336" s="45" t="str">
        <f t="shared" si="10"/>
        <v/>
      </c>
      <c r="D336" s="45" t="str">
        <f t="shared" si="1"/>
        <v/>
      </c>
      <c r="E336" s="45" t="str">
        <f t="shared" si="2"/>
        <v/>
      </c>
      <c r="F336" s="45" t="str">
        <f t="shared" si="3"/>
        <v/>
      </c>
      <c r="G336" s="45" t="str">
        <f t="shared" si="4"/>
        <v/>
      </c>
      <c r="H336" s="45" t="str">
        <f t="shared" si="5"/>
        <v/>
      </c>
      <c r="I336" s="45" t="str">
        <f t="shared" si="6"/>
        <v/>
      </c>
      <c r="J336" s="43"/>
    </row>
    <row r="337">
      <c r="A337" s="40" t="str">
        <f t="shared" si="8"/>
        <v/>
      </c>
      <c r="B337" s="44" t="str">
        <f t="shared" si="9"/>
        <v/>
      </c>
      <c r="C337" s="45" t="str">
        <f t="shared" si="10"/>
        <v/>
      </c>
      <c r="D337" s="45" t="str">
        <f t="shared" si="1"/>
        <v/>
      </c>
      <c r="E337" s="45" t="str">
        <f t="shared" si="2"/>
        <v/>
      </c>
      <c r="F337" s="45" t="str">
        <f t="shared" si="3"/>
        <v/>
      </c>
      <c r="G337" s="45" t="str">
        <f t="shared" si="4"/>
        <v/>
      </c>
      <c r="H337" s="45" t="str">
        <f t="shared" si="5"/>
        <v/>
      </c>
      <c r="I337" s="45" t="str">
        <f t="shared" si="6"/>
        <v/>
      </c>
      <c r="J337" s="43"/>
    </row>
    <row r="338">
      <c r="A338" s="40" t="str">
        <f t="shared" si="8"/>
        <v/>
      </c>
      <c r="B338" s="44" t="str">
        <f t="shared" si="9"/>
        <v/>
      </c>
      <c r="C338" s="45" t="str">
        <f t="shared" si="10"/>
        <v/>
      </c>
      <c r="D338" s="45" t="str">
        <f t="shared" si="1"/>
        <v/>
      </c>
      <c r="E338" s="45" t="str">
        <f t="shared" si="2"/>
        <v/>
      </c>
      <c r="F338" s="45" t="str">
        <f t="shared" si="3"/>
        <v/>
      </c>
      <c r="G338" s="45" t="str">
        <f t="shared" si="4"/>
        <v/>
      </c>
      <c r="H338" s="45" t="str">
        <f t="shared" si="5"/>
        <v/>
      </c>
      <c r="I338" s="45" t="str">
        <f t="shared" si="6"/>
        <v/>
      </c>
      <c r="J338" s="43"/>
    </row>
    <row r="339">
      <c r="A339" s="40" t="str">
        <f t="shared" si="8"/>
        <v/>
      </c>
      <c r="B339" s="44" t="str">
        <f t="shared" si="9"/>
        <v/>
      </c>
      <c r="C339" s="45" t="str">
        <f t="shared" si="10"/>
        <v/>
      </c>
      <c r="D339" s="45" t="str">
        <f t="shared" si="1"/>
        <v/>
      </c>
      <c r="E339" s="45" t="str">
        <f t="shared" si="2"/>
        <v/>
      </c>
      <c r="F339" s="45" t="str">
        <f t="shared" si="3"/>
        <v/>
      </c>
      <c r="G339" s="45" t="str">
        <f t="shared" si="4"/>
        <v/>
      </c>
      <c r="H339" s="45" t="str">
        <f t="shared" si="5"/>
        <v/>
      </c>
      <c r="I339" s="45" t="str">
        <f t="shared" si="6"/>
        <v/>
      </c>
      <c r="J339" s="43"/>
    </row>
    <row r="340">
      <c r="A340" s="40" t="str">
        <f t="shared" si="8"/>
        <v/>
      </c>
      <c r="B340" s="44" t="str">
        <f t="shared" si="9"/>
        <v/>
      </c>
      <c r="C340" s="45" t="str">
        <f t="shared" si="10"/>
        <v/>
      </c>
      <c r="D340" s="45" t="str">
        <f t="shared" si="1"/>
        <v/>
      </c>
      <c r="E340" s="45" t="str">
        <f t="shared" si="2"/>
        <v/>
      </c>
      <c r="F340" s="45" t="str">
        <f t="shared" si="3"/>
        <v/>
      </c>
      <c r="G340" s="45" t="str">
        <f t="shared" si="4"/>
        <v/>
      </c>
      <c r="H340" s="45" t="str">
        <f t="shared" si="5"/>
        <v/>
      </c>
      <c r="I340" s="45" t="str">
        <f t="shared" si="6"/>
        <v/>
      </c>
      <c r="J340" s="43"/>
    </row>
    <row r="341">
      <c r="A341" s="40" t="str">
        <f t="shared" si="8"/>
        <v/>
      </c>
      <c r="B341" s="44" t="str">
        <f t="shared" si="9"/>
        <v/>
      </c>
      <c r="C341" s="45" t="str">
        <f t="shared" si="10"/>
        <v/>
      </c>
      <c r="D341" s="45" t="str">
        <f t="shared" si="1"/>
        <v/>
      </c>
      <c r="E341" s="45" t="str">
        <f t="shared" si="2"/>
        <v/>
      </c>
      <c r="F341" s="45" t="str">
        <f t="shared" si="3"/>
        <v/>
      </c>
      <c r="G341" s="45" t="str">
        <f t="shared" si="4"/>
        <v/>
      </c>
      <c r="H341" s="45" t="str">
        <f t="shared" si="5"/>
        <v/>
      </c>
      <c r="I341" s="45" t="str">
        <f t="shared" si="6"/>
        <v/>
      </c>
      <c r="J341" s="43"/>
    </row>
    <row r="342">
      <c r="A342" s="40" t="str">
        <f t="shared" si="8"/>
        <v/>
      </c>
      <c r="B342" s="44" t="str">
        <f t="shared" si="9"/>
        <v/>
      </c>
      <c r="C342" s="45" t="str">
        <f t="shared" si="10"/>
        <v/>
      </c>
      <c r="D342" s="45" t="str">
        <f t="shared" si="1"/>
        <v/>
      </c>
      <c r="E342" s="45" t="str">
        <f t="shared" si="2"/>
        <v/>
      </c>
      <c r="F342" s="45" t="str">
        <f t="shared" si="3"/>
        <v/>
      </c>
      <c r="G342" s="45" t="str">
        <f t="shared" si="4"/>
        <v/>
      </c>
      <c r="H342" s="45" t="str">
        <f t="shared" si="5"/>
        <v/>
      </c>
      <c r="I342" s="45" t="str">
        <f t="shared" si="6"/>
        <v/>
      </c>
      <c r="J342" s="43"/>
    </row>
    <row r="343">
      <c r="A343" s="40" t="str">
        <f t="shared" si="8"/>
        <v/>
      </c>
      <c r="B343" s="44" t="str">
        <f t="shared" si="9"/>
        <v/>
      </c>
      <c r="C343" s="45" t="str">
        <f t="shared" si="10"/>
        <v/>
      </c>
      <c r="D343" s="45" t="str">
        <f t="shared" si="1"/>
        <v/>
      </c>
      <c r="E343" s="45" t="str">
        <f t="shared" si="2"/>
        <v/>
      </c>
      <c r="F343" s="45" t="str">
        <f t="shared" si="3"/>
        <v/>
      </c>
      <c r="G343" s="45" t="str">
        <f t="shared" si="4"/>
        <v/>
      </c>
      <c r="H343" s="45" t="str">
        <f t="shared" si="5"/>
        <v/>
      </c>
      <c r="I343" s="45" t="str">
        <f t="shared" si="6"/>
        <v/>
      </c>
      <c r="J343" s="43"/>
    </row>
    <row r="344">
      <c r="A344" s="40" t="str">
        <f t="shared" si="8"/>
        <v/>
      </c>
      <c r="B344" s="44" t="str">
        <f t="shared" si="9"/>
        <v/>
      </c>
      <c r="C344" s="45" t="str">
        <f t="shared" si="10"/>
        <v/>
      </c>
      <c r="D344" s="45" t="str">
        <f t="shared" si="1"/>
        <v/>
      </c>
      <c r="E344" s="45" t="str">
        <f t="shared" si="2"/>
        <v/>
      </c>
      <c r="F344" s="45" t="str">
        <f t="shared" si="3"/>
        <v/>
      </c>
      <c r="G344" s="45" t="str">
        <f t="shared" si="4"/>
        <v/>
      </c>
      <c r="H344" s="45" t="str">
        <f t="shared" si="5"/>
        <v/>
      </c>
      <c r="I344" s="45" t="str">
        <f t="shared" si="6"/>
        <v/>
      </c>
      <c r="J344" s="43"/>
    </row>
    <row r="345">
      <c r="A345" s="40" t="str">
        <f t="shared" si="8"/>
        <v/>
      </c>
      <c r="B345" s="44" t="str">
        <f t="shared" si="9"/>
        <v/>
      </c>
      <c r="C345" s="45" t="str">
        <f t="shared" si="10"/>
        <v/>
      </c>
      <c r="D345" s="45" t="str">
        <f t="shared" si="1"/>
        <v/>
      </c>
      <c r="E345" s="45" t="str">
        <f t="shared" si="2"/>
        <v/>
      </c>
      <c r="F345" s="45" t="str">
        <f t="shared" si="3"/>
        <v/>
      </c>
      <c r="G345" s="45" t="str">
        <f t="shared" si="4"/>
        <v/>
      </c>
      <c r="H345" s="45" t="str">
        <f t="shared" si="5"/>
        <v/>
      </c>
      <c r="I345" s="45" t="str">
        <f t="shared" si="6"/>
        <v/>
      </c>
      <c r="J345" s="43"/>
    </row>
    <row r="346">
      <c r="A346" s="40" t="str">
        <f t="shared" si="8"/>
        <v/>
      </c>
      <c r="B346" s="44" t="str">
        <f t="shared" si="9"/>
        <v/>
      </c>
      <c r="C346" s="45" t="str">
        <f t="shared" si="10"/>
        <v/>
      </c>
      <c r="D346" s="45" t="str">
        <f t="shared" si="1"/>
        <v/>
      </c>
      <c r="E346" s="45" t="str">
        <f t="shared" si="2"/>
        <v/>
      </c>
      <c r="F346" s="45" t="str">
        <f t="shared" si="3"/>
        <v/>
      </c>
      <c r="G346" s="45" t="str">
        <f t="shared" si="4"/>
        <v/>
      </c>
      <c r="H346" s="45" t="str">
        <f t="shared" si="5"/>
        <v/>
      </c>
      <c r="I346" s="45" t="str">
        <f t="shared" si="6"/>
        <v/>
      </c>
      <c r="J346" s="43"/>
    </row>
    <row r="347">
      <c r="A347" s="40" t="str">
        <f t="shared" si="8"/>
        <v/>
      </c>
      <c r="B347" s="44" t="str">
        <f t="shared" si="9"/>
        <v/>
      </c>
      <c r="C347" s="45" t="str">
        <f t="shared" si="10"/>
        <v/>
      </c>
      <c r="D347" s="45" t="str">
        <f t="shared" si="1"/>
        <v/>
      </c>
      <c r="E347" s="45" t="str">
        <f t="shared" si="2"/>
        <v/>
      </c>
      <c r="F347" s="45" t="str">
        <f t="shared" si="3"/>
        <v/>
      </c>
      <c r="G347" s="45" t="str">
        <f t="shared" si="4"/>
        <v/>
      </c>
      <c r="H347" s="45" t="str">
        <f t="shared" si="5"/>
        <v/>
      </c>
      <c r="I347" s="45" t="str">
        <f t="shared" si="6"/>
        <v/>
      </c>
      <c r="J347" s="43"/>
    </row>
    <row r="348">
      <c r="A348" s="40" t="str">
        <f t="shared" si="8"/>
        <v/>
      </c>
      <c r="B348" s="44" t="str">
        <f t="shared" si="9"/>
        <v/>
      </c>
      <c r="C348" s="45" t="str">
        <f t="shared" si="10"/>
        <v/>
      </c>
      <c r="D348" s="45" t="str">
        <f t="shared" si="1"/>
        <v/>
      </c>
      <c r="E348" s="45" t="str">
        <f t="shared" si="2"/>
        <v/>
      </c>
      <c r="F348" s="45" t="str">
        <f t="shared" si="3"/>
        <v/>
      </c>
      <c r="G348" s="45" t="str">
        <f t="shared" si="4"/>
        <v/>
      </c>
      <c r="H348" s="45" t="str">
        <f t="shared" si="5"/>
        <v/>
      </c>
      <c r="I348" s="45" t="str">
        <f t="shared" si="6"/>
        <v/>
      </c>
      <c r="J348" s="43"/>
    </row>
    <row r="349">
      <c r="A349" s="40" t="str">
        <f t="shared" si="8"/>
        <v/>
      </c>
      <c r="B349" s="44" t="str">
        <f t="shared" si="9"/>
        <v/>
      </c>
      <c r="C349" s="45" t="str">
        <f t="shared" si="10"/>
        <v/>
      </c>
      <c r="D349" s="45" t="str">
        <f t="shared" si="1"/>
        <v/>
      </c>
      <c r="E349" s="45" t="str">
        <f t="shared" si="2"/>
        <v/>
      </c>
      <c r="F349" s="45" t="str">
        <f t="shared" si="3"/>
        <v/>
      </c>
      <c r="G349" s="45" t="str">
        <f t="shared" si="4"/>
        <v/>
      </c>
      <c r="H349" s="45" t="str">
        <f t="shared" si="5"/>
        <v/>
      </c>
      <c r="I349" s="45" t="str">
        <f t="shared" si="6"/>
        <v/>
      </c>
      <c r="J349" s="43"/>
    </row>
    <row r="350">
      <c r="A350" s="40" t="str">
        <f t="shared" si="8"/>
        <v/>
      </c>
      <c r="B350" s="44" t="str">
        <f t="shared" si="9"/>
        <v/>
      </c>
      <c r="C350" s="45" t="str">
        <f t="shared" si="10"/>
        <v/>
      </c>
      <c r="D350" s="45" t="str">
        <f t="shared" si="1"/>
        <v/>
      </c>
      <c r="E350" s="45" t="str">
        <f t="shared" si="2"/>
        <v/>
      </c>
      <c r="F350" s="45" t="str">
        <f t="shared" si="3"/>
        <v/>
      </c>
      <c r="G350" s="45" t="str">
        <f t="shared" si="4"/>
        <v/>
      </c>
      <c r="H350" s="45" t="str">
        <f t="shared" si="5"/>
        <v/>
      </c>
      <c r="I350" s="45" t="str">
        <f t="shared" si="6"/>
        <v/>
      </c>
      <c r="J350" s="43"/>
    </row>
    <row r="351">
      <c r="A351" s="40" t="str">
        <f t="shared" si="8"/>
        <v/>
      </c>
      <c r="B351" s="44" t="str">
        <f t="shared" si="9"/>
        <v/>
      </c>
      <c r="C351" s="45" t="str">
        <f t="shared" si="10"/>
        <v/>
      </c>
      <c r="D351" s="45" t="str">
        <f t="shared" si="1"/>
        <v/>
      </c>
      <c r="E351" s="45" t="str">
        <f t="shared" si="2"/>
        <v/>
      </c>
      <c r="F351" s="45" t="str">
        <f t="shared" si="3"/>
        <v/>
      </c>
      <c r="G351" s="45" t="str">
        <f t="shared" si="4"/>
        <v/>
      </c>
      <c r="H351" s="45" t="str">
        <f t="shared" si="5"/>
        <v/>
      </c>
      <c r="I351" s="45" t="str">
        <f t="shared" si="6"/>
        <v/>
      </c>
      <c r="J351" s="43"/>
    </row>
    <row r="352">
      <c r="A352" s="40" t="str">
        <f t="shared" si="8"/>
        <v/>
      </c>
      <c r="B352" s="44" t="str">
        <f t="shared" si="9"/>
        <v/>
      </c>
      <c r="C352" s="45" t="str">
        <f t="shared" si="10"/>
        <v/>
      </c>
      <c r="D352" s="45" t="str">
        <f t="shared" si="1"/>
        <v/>
      </c>
      <c r="E352" s="45" t="str">
        <f t="shared" si="2"/>
        <v/>
      </c>
      <c r="F352" s="45" t="str">
        <f t="shared" si="3"/>
        <v/>
      </c>
      <c r="G352" s="45" t="str">
        <f t="shared" si="4"/>
        <v/>
      </c>
      <c r="H352" s="45" t="str">
        <f t="shared" si="5"/>
        <v/>
      </c>
      <c r="I352" s="45" t="str">
        <f t="shared" si="6"/>
        <v/>
      </c>
      <c r="J352" s="43"/>
    </row>
    <row r="353">
      <c r="A353" s="40" t="str">
        <f t="shared" si="8"/>
        <v/>
      </c>
      <c r="B353" s="44" t="str">
        <f t="shared" si="9"/>
        <v/>
      </c>
      <c r="C353" s="45" t="str">
        <f t="shared" si="10"/>
        <v/>
      </c>
      <c r="D353" s="45" t="str">
        <f t="shared" si="1"/>
        <v/>
      </c>
      <c r="E353" s="45" t="str">
        <f t="shared" si="2"/>
        <v/>
      </c>
      <c r="F353" s="45" t="str">
        <f t="shared" si="3"/>
        <v/>
      </c>
      <c r="G353" s="45" t="str">
        <f t="shared" si="4"/>
        <v/>
      </c>
      <c r="H353" s="45" t="str">
        <f t="shared" si="5"/>
        <v/>
      </c>
      <c r="I353" s="45" t="str">
        <f t="shared" si="6"/>
        <v/>
      </c>
      <c r="J353" s="43"/>
    </row>
    <row r="354">
      <c r="A354" s="40" t="str">
        <f t="shared" si="8"/>
        <v/>
      </c>
      <c r="B354" s="44" t="str">
        <f t="shared" si="9"/>
        <v/>
      </c>
      <c r="C354" s="45" t="str">
        <f t="shared" si="10"/>
        <v/>
      </c>
      <c r="D354" s="45" t="str">
        <f t="shared" si="1"/>
        <v/>
      </c>
      <c r="E354" s="45" t="str">
        <f t="shared" si="2"/>
        <v/>
      </c>
      <c r="F354" s="45" t="str">
        <f t="shared" si="3"/>
        <v/>
      </c>
      <c r="G354" s="45" t="str">
        <f t="shared" si="4"/>
        <v/>
      </c>
      <c r="H354" s="45" t="str">
        <f t="shared" si="5"/>
        <v/>
      </c>
      <c r="I354" s="45" t="str">
        <f t="shared" si="6"/>
        <v/>
      </c>
      <c r="J354" s="43"/>
    </row>
    <row r="355">
      <c r="A355" s="40" t="str">
        <f t="shared" si="8"/>
        <v/>
      </c>
      <c r="B355" s="44" t="str">
        <f t="shared" si="9"/>
        <v/>
      </c>
      <c r="C355" s="45" t="str">
        <f t="shared" si="10"/>
        <v/>
      </c>
      <c r="D355" s="45" t="str">
        <f t="shared" si="1"/>
        <v/>
      </c>
      <c r="E355" s="45" t="str">
        <f t="shared" si="2"/>
        <v/>
      </c>
      <c r="F355" s="45" t="str">
        <f t="shared" si="3"/>
        <v/>
      </c>
      <c r="G355" s="45" t="str">
        <f t="shared" si="4"/>
        <v/>
      </c>
      <c r="H355" s="45" t="str">
        <f t="shared" si="5"/>
        <v/>
      </c>
      <c r="I355" s="45" t="str">
        <f t="shared" si="6"/>
        <v/>
      </c>
      <c r="J355" s="43"/>
    </row>
    <row r="356">
      <c r="A356" s="40" t="str">
        <f t="shared" si="8"/>
        <v/>
      </c>
      <c r="B356" s="44" t="str">
        <f t="shared" si="9"/>
        <v/>
      </c>
      <c r="C356" s="45" t="str">
        <f t="shared" si="10"/>
        <v/>
      </c>
      <c r="D356" s="45" t="str">
        <f t="shared" si="1"/>
        <v/>
      </c>
      <c r="E356" s="45" t="str">
        <f t="shared" si="2"/>
        <v/>
      </c>
      <c r="F356" s="45" t="str">
        <f t="shared" si="3"/>
        <v/>
      </c>
      <c r="G356" s="45" t="str">
        <f t="shared" si="4"/>
        <v/>
      </c>
      <c r="H356" s="45" t="str">
        <f t="shared" si="5"/>
        <v/>
      </c>
      <c r="I356" s="45" t="str">
        <f t="shared" si="6"/>
        <v/>
      </c>
      <c r="J356" s="43"/>
    </row>
    <row r="357">
      <c r="A357" s="40" t="str">
        <f t="shared" si="8"/>
        <v/>
      </c>
      <c r="B357" s="44" t="str">
        <f t="shared" si="9"/>
        <v/>
      </c>
      <c r="C357" s="45" t="str">
        <f t="shared" si="10"/>
        <v/>
      </c>
      <c r="D357" s="45" t="str">
        <f t="shared" si="1"/>
        <v/>
      </c>
      <c r="E357" s="45" t="str">
        <f t="shared" si="2"/>
        <v/>
      </c>
      <c r="F357" s="45" t="str">
        <f t="shared" si="3"/>
        <v/>
      </c>
      <c r="G357" s="45" t="str">
        <f t="shared" si="4"/>
        <v/>
      </c>
      <c r="H357" s="45" t="str">
        <f t="shared" si="5"/>
        <v/>
      </c>
      <c r="I357" s="45" t="str">
        <f t="shared" si="6"/>
        <v/>
      </c>
      <c r="J357" s="43"/>
    </row>
    <row r="358">
      <c r="A358" s="40" t="str">
        <f t="shared" si="8"/>
        <v/>
      </c>
      <c r="B358" s="44" t="str">
        <f t="shared" si="9"/>
        <v/>
      </c>
      <c r="C358" s="45" t="str">
        <f t="shared" si="10"/>
        <v/>
      </c>
      <c r="D358" s="45" t="str">
        <f t="shared" si="1"/>
        <v/>
      </c>
      <c r="E358" s="45" t="str">
        <f t="shared" si="2"/>
        <v/>
      </c>
      <c r="F358" s="45" t="str">
        <f t="shared" si="3"/>
        <v/>
      </c>
      <c r="G358" s="45" t="str">
        <f t="shared" si="4"/>
        <v/>
      </c>
      <c r="H358" s="45" t="str">
        <f t="shared" si="5"/>
        <v/>
      </c>
      <c r="I358" s="45" t="str">
        <f t="shared" si="6"/>
        <v/>
      </c>
      <c r="J358" s="43"/>
    </row>
    <row r="359">
      <c r="A359" s="40" t="str">
        <f t="shared" si="8"/>
        <v/>
      </c>
      <c r="B359" s="44" t="str">
        <f t="shared" si="9"/>
        <v/>
      </c>
      <c r="C359" s="45" t="str">
        <f t="shared" si="10"/>
        <v/>
      </c>
      <c r="D359" s="45" t="str">
        <f t="shared" si="1"/>
        <v/>
      </c>
      <c r="E359" s="45" t="str">
        <f t="shared" si="2"/>
        <v/>
      </c>
      <c r="F359" s="45" t="str">
        <f t="shared" si="3"/>
        <v/>
      </c>
      <c r="G359" s="45" t="str">
        <f t="shared" si="4"/>
        <v/>
      </c>
      <c r="H359" s="45" t="str">
        <f t="shared" si="5"/>
        <v/>
      </c>
      <c r="I359" s="45" t="str">
        <f t="shared" si="6"/>
        <v/>
      </c>
      <c r="J359" s="43"/>
    </row>
    <row r="360">
      <c r="A360" s="40" t="str">
        <f t="shared" si="8"/>
        <v/>
      </c>
      <c r="B360" s="44" t="str">
        <f t="shared" si="9"/>
        <v/>
      </c>
      <c r="C360" s="45" t="str">
        <f t="shared" si="10"/>
        <v/>
      </c>
      <c r="D360" s="45" t="str">
        <f t="shared" si="1"/>
        <v/>
      </c>
      <c r="E360" s="45" t="str">
        <f t="shared" si="2"/>
        <v/>
      </c>
      <c r="F360" s="45" t="str">
        <f t="shared" si="3"/>
        <v/>
      </c>
      <c r="G360" s="45" t="str">
        <f t="shared" si="4"/>
        <v/>
      </c>
      <c r="H360" s="45" t="str">
        <f t="shared" si="5"/>
        <v/>
      </c>
      <c r="I360" s="45" t="str">
        <f t="shared" si="6"/>
        <v/>
      </c>
      <c r="J360" s="43"/>
    </row>
    <row r="361">
      <c r="A361" s="40" t="str">
        <f t="shared" si="8"/>
        <v/>
      </c>
      <c r="B361" s="44" t="str">
        <f t="shared" si="9"/>
        <v/>
      </c>
      <c r="C361" s="45" t="str">
        <f t="shared" si="10"/>
        <v/>
      </c>
      <c r="D361" s="45" t="str">
        <f t="shared" si="1"/>
        <v/>
      </c>
      <c r="E361" s="45" t="str">
        <f t="shared" si="2"/>
        <v/>
      </c>
      <c r="F361" s="45" t="str">
        <f t="shared" si="3"/>
        <v/>
      </c>
      <c r="G361" s="45" t="str">
        <f t="shared" si="4"/>
        <v/>
      </c>
      <c r="H361" s="45" t="str">
        <f t="shared" si="5"/>
        <v/>
      </c>
      <c r="I361" s="45" t="str">
        <f t="shared" si="6"/>
        <v/>
      </c>
      <c r="J361" s="43"/>
    </row>
    <row r="362">
      <c r="A362" s="40" t="str">
        <f t="shared" si="8"/>
        <v/>
      </c>
      <c r="B362" s="44" t="str">
        <f t="shared" si="9"/>
        <v/>
      </c>
      <c r="C362" s="45" t="str">
        <f t="shared" si="10"/>
        <v/>
      </c>
      <c r="D362" s="45" t="str">
        <f t="shared" si="1"/>
        <v/>
      </c>
      <c r="E362" s="45" t="str">
        <f t="shared" si="2"/>
        <v/>
      </c>
      <c r="F362" s="45" t="str">
        <f t="shared" si="3"/>
        <v/>
      </c>
      <c r="G362" s="45" t="str">
        <f t="shared" si="4"/>
        <v/>
      </c>
      <c r="H362" s="45" t="str">
        <f t="shared" si="5"/>
        <v/>
      </c>
      <c r="I362" s="45" t="str">
        <f t="shared" si="6"/>
        <v/>
      </c>
      <c r="J362" s="43"/>
    </row>
    <row r="363">
      <c r="A363" s="40" t="str">
        <f t="shared" si="8"/>
        <v/>
      </c>
      <c r="B363" s="44" t="str">
        <f t="shared" si="9"/>
        <v/>
      </c>
      <c r="C363" s="45" t="str">
        <f t="shared" si="10"/>
        <v/>
      </c>
      <c r="D363" s="45" t="str">
        <f t="shared" si="1"/>
        <v/>
      </c>
      <c r="E363" s="45" t="str">
        <f t="shared" si="2"/>
        <v/>
      </c>
      <c r="F363" s="45" t="str">
        <f t="shared" si="3"/>
        <v/>
      </c>
      <c r="G363" s="45" t="str">
        <f t="shared" si="4"/>
        <v/>
      </c>
      <c r="H363" s="45" t="str">
        <f t="shared" si="5"/>
        <v/>
      </c>
      <c r="I363" s="45" t="str">
        <f t="shared" si="6"/>
        <v/>
      </c>
      <c r="J363" s="43"/>
    </row>
    <row r="364">
      <c r="A364" s="40" t="str">
        <f t="shared" si="8"/>
        <v/>
      </c>
      <c r="B364" s="44" t="str">
        <f t="shared" si="9"/>
        <v/>
      </c>
      <c r="C364" s="45" t="str">
        <f t="shared" si="10"/>
        <v/>
      </c>
      <c r="D364" s="45" t="str">
        <f t="shared" si="1"/>
        <v/>
      </c>
      <c r="E364" s="45" t="str">
        <f t="shared" si="2"/>
        <v/>
      </c>
      <c r="F364" s="45" t="str">
        <f t="shared" si="3"/>
        <v/>
      </c>
      <c r="G364" s="45" t="str">
        <f t="shared" si="4"/>
        <v/>
      </c>
      <c r="H364" s="45" t="str">
        <f t="shared" si="5"/>
        <v/>
      </c>
      <c r="I364" s="45" t="str">
        <f t="shared" si="6"/>
        <v/>
      </c>
      <c r="J364" s="43"/>
    </row>
    <row r="365">
      <c r="A365" s="40" t="str">
        <f t="shared" si="8"/>
        <v/>
      </c>
      <c r="B365" s="44" t="str">
        <f t="shared" si="9"/>
        <v/>
      </c>
      <c r="C365" s="45" t="str">
        <f t="shared" si="10"/>
        <v/>
      </c>
      <c r="D365" s="45" t="str">
        <f t="shared" si="1"/>
        <v/>
      </c>
      <c r="E365" s="45" t="str">
        <f t="shared" si="2"/>
        <v/>
      </c>
      <c r="F365" s="45" t="str">
        <f t="shared" si="3"/>
        <v/>
      </c>
      <c r="G365" s="45" t="str">
        <f t="shared" si="4"/>
        <v/>
      </c>
      <c r="H365" s="45" t="str">
        <f t="shared" si="5"/>
        <v/>
      </c>
      <c r="I365" s="45" t="str">
        <f t="shared" si="6"/>
        <v/>
      </c>
      <c r="J365" s="43"/>
    </row>
    <row r="366">
      <c r="A366" s="40" t="str">
        <f t="shared" si="8"/>
        <v/>
      </c>
      <c r="B366" s="44" t="str">
        <f t="shared" si="9"/>
        <v/>
      </c>
      <c r="C366" s="45" t="str">
        <f t="shared" si="10"/>
        <v/>
      </c>
      <c r="D366" s="45" t="str">
        <f t="shared" si="1"/>
        <v/>
      </c>
      <c r="E366" s="45" t="str">
        <f t="shared" si="2"/>
        <v/>
      </c>
      <c r="F366" s="45" t="str">
        <f t="shared" si="3"/>
        <v/>
      </c>
      <c r="G366" s="45" t="str">
        <f t="shared" si="4"/>
        <v/>
      </c>
      <c r="H366" s="45" t="str">
        <f t="shared" si="5"/>
        <v/>
      </c>
      <c r="I366" s="45" t="str">
        <f t="shared" si="6"/>
        <v/>
      </c>
      <c r="J366" s="43"/>
    </row>
    <row r="367">
      <c r="A367" s="40" t="str">
        <f t="shared" si="8"/>
        <v/>
      </c>
      <c r="B367" s="44" t="str">
        <f t="shared" si="9"/>
        <v/>
      </c>
      <c r="C367" s="45" t="str">
        <f t="shared" si="10"/>
        <v/>
      </c>
      <c r="D367" s="45" t="str">
        <f t="shared" si="1"/>
        <v/>
      </c>
      <c r="E367" s="45" t="str">
        <f t="shared" si="2"/>
        <v/>
      </c>
      <c r="F367" s="45" t="str">
        <f t="shared" si="3"/>
        <v/>
      </c>
      <c r="G367" s="45" t="str">
        <f t="shared" si="4"/>
        <v/>
      </c>
      <c r="H367" s="45" t="str">
        <f t="shared" si="5"/>
        <v/>
      </c>
      <c r="I367" s="45" t="str">
        <f t="shared" si="6"/>
        <v/>
      </c>
      <c r="J367" s="43"/>
    </row>
    <row r="368">
      <c r="A368" s="40" t="str">
        <f t="shared" si="8"/>
        <v/>
      </c>
      <c r="B368" s="44" t="str">
        <f t="shared" si="9"/>
        <v/>
      </c>
      <c r="C368" s="45" t="str">
        <f t="shared" si="10"/>
        <v/>
      </c>
      <c r="D368" s="45" t="str">
        <f t="shared" si="1"/>
        <v/>
      </c>
      <c r="E368" s="45" t="str">
        <f t="shared" si="2"/>
        <v/>
      </c>
      <c r="F368" s="45" t="str">
        <f t="shared" si="3"/>
        <v/>
      </c>
      <c r="G368" s="45" t="str">
        <f t="shared" si="4"/>
        <v/>
      </c>
      <c r="H368" s="45" t="str">
        <f t="shared" si="5"/>
        <v/>
      </c>
      <c r="I368" s="45" t="str">
        <f t="shared" si="6"/>
        <v/>
      </c>
      <c r="J368" s="43"/>
    </row>
    <row r="369">
      <c r="A369" s="40" t="str">
        <f t="shared" si="8"/>
        <v/>
      </c>
      <c r="B369" s="44" t="str">
        <f t="shared" si="9"/>
        <v/>
      </c>
      <c r="C369" s="45" t="str">
        <f t="shared" si="10"/>
        <v/>
      </c>
      <c r="D369" s="45" t="str">
        <f t="shared" si="1"/>
        <v/>
      </c>
      <c r="E369" s="45" t="str">
        <f t="shared" si="2"/>
        <v/>
      </c>
      <c r="F369" s="45" t="str">
        <f t="shared" si="3"/>
        <v/>
      </c>
      <c r="G369" s="45" t="str">
        <f t="shared" si="4"/>
        <v/>
      </c>
      <c r="H369" s="45" t="str">
        <f t="shared" si="5"/>
        <v/>
      </c>
      <c r="I369" s="45" t="str">
        <f t="shared" si="6"/>
        <v/>
      </c>
      <c r="J369" s="43"/>
    </row>
    <row r="370">
      <c r="A370" s="40" t="str">
        <f t="shared" si="8"/>
        <v/>
      </c>
      <c r="B370" s="44" t="str">
        <f t="shared" si="9"/>
        <v/>
      </c>
      <c r="C370" s="45" t="str">
        <f t="shared" si="10"/>
        <v/>
      </c>
      <c r="D370" s="45" t="str">
        <f t="shared" si="1"/>
        <v/>
      </c>
      <c r="E370" s="45" t="str">
        <f t="shared" si="2"/>
        <v/>
      </c>
      <c r="F370" s="45" t="str">
        <f t="shared" si="3"/>
        <v/>
      </c>
      <c r="G370" s="45" t="str">
        <f t="shared" si="4"/>
        <v/>
      </c>
      <c r="H370" s="45" t="str">
        <f t="shared" si="5"/>
        <v/>
      </c>
      <c r="I370" s="45" t="str">
        <f t="shared" si="6"/>
        <v/>
      </c>
      <c r="J370" s="43"/>
    </row>
    <row r="371">
      <c r="C371" s="42"/>
      <c r="D371" s="42"/>
      <c r="E371" s="42"/>
      <c r="F371" s="42"/>
      <c r="G371" s="42"/>
      <c r="H371" s="42"/>
      <c r="I371" s="42"/>
    </row>
    <row r="372">
      <c r="C372" s="42"/>
      <c r="D372" s="42"/>
      <c r="E372" s="42"/>
      <c r="F372" s="42"/>
      <c r="G372" s="42"/>
      <c r="H372" s="42"/>
      <c r="I372" s="42"/>
    </row>
    <row r="373">
      <c r="C373" s="42"/>
      <c r="D373" s="42"/>
      <c r="E373" s="42"/>
      <c r="F373" s="42"/>
      <c r="G373" s="42"/>
      <c r="H373" s="42"/>
      <c r="I373" s="42"/>
    </row>
    <row r="374">
      <c r="C374" s="42"/>
      <c r="D374" s="42"/>
      <c r="E374" s="42"/>
      <c r="F374" s="42"/>
      <c r="G374" s="42"/>
      <c r="H374" s="42"/>
      <c r="I374" s="42"/>
    </row>
    <row r="375">
      <c r="C375" s="42"/>
      <c r="D375" s="42"/>
      <c r="E375" s="42"/>
      <c r="F375" s="42"/>
      <c r="G375" s="42"/>
      <c r="H375" s="42"/>
      <c r="I375" s="42"/>
    </row>
    <row r="376">
      <c r="C376" s="42"/>
      <c r="D376" s="42"/>
      <c r="E376" s="42"/>
      <c r="F376" s="42"/>
      <c r="G376" s="42"/>
      <c r="H376" s="42"/>
      <c r="I376" s="42"/>
    </row>
    <row r="377">
      <c r="C377" s="42"/>
      <c r="D377" s="42"/>
      <c r="E377" s="42"/>
      <c r="F377" s="42"/>
      <c r="G377" s="42"/>
      <c r="H377" s="42"/>
      <c r="I377" s="42"/>
    </row>
    <row r="378">
      <c r="C378" s="42"/>
      <c r="D378" s="42"/>
      <c r="E378" s="42"/>
      <c r="F378" s="42"/>
      <c r="G378" s="42"/>
      <c r="H378" s="42"/>
      <c r="I378" s="42"/>
    </row>
    <row r="379">
      <c r="C379" s="42"/>
      <c r="D379" s="42"/>
      <c r="E379" s="42"/>
      <c r="F379" s="42"/>
      <c r="G379" s="42"/>
      <c r="H379" s="42"/>
      <c r="I379" s="42"/>
    </row>
    <row r="380">
      <c r="C380" s="42"/>
      <c r="D380" s="42"/>
      <c r="E380" s="42"/>
      <c r="F380" s="42"/>
      <c r="G380" s="42"/>
      <c r="H380" s="42"/>
      <c r="I380" s="42"/>
    </row>
  </sheetData>
  <mergeCells count="14">
    <mergeCell ref="B5:C5"/>
    <mergeCell ref="B6:C6"/>
    <mergeCell ref="B7:C7"/>
    <mergeCell ref="B8:C8"/>
    <mergeCell ref="F6:G6"/>
    <mergeCell ref="F7:G7"/>
    <mergeCell ref="F8:G8"/>
    <mergeCell ref="B2:D2"/>
    <mergeCell ref="F2:H2"/>
    <mergeCell ref="B3:C3"/>
    <mergeCell ref="F3:G3"/>
    <mergeCell ref="B4:C4"/>
    <mergeCell ref="F4:G4"/>
    <mergeCell ref="F5:G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5"/>
    <col customWidth="1" min="3" max="3" width="18.5"/>
    <col customWidth="1" min="4" max="4" width="16.0"/>
    <col customWidth="1" min="5" max="5" width="14.75"/>
  </cols>
  <sheetData>
    <row r="1">
      <c r="A1" s="4"/>
      <c r="B1" s="46"/>
      <c r="C1" s="47"/>
    </row>
    <row r="2">
      <c r="A2" s="48"/>
      <c r="B2" s="49" t="s">
        <v>0</v>
      </c>
      <c r="C2" s="50" t="s">
        <v>41</v>
      </c>
      <c r="D2" s="49" t="s">
        <v>42</v>
      </c>
      <c r="F2" s="51" t="s">
        <v>43</v>
      </c>
      <c r="G2" s="52" t="s">
        <v>44</v>
      </c>
    </row>
    <row r="3">
      <c r="A3" s="53" t="s">
        <v>45</v>
      </c>
      <c r="B3" s="54">
        <v>107500.0</v>
      </c>
      <c r="C3" s="55"/>
      <c r="D3" s="56"/>
      <c r="F3" s="51" t="s">
        <v>46</v>
      </c>
      <c r="G3" s="52" t="s">
        <v>47</v>
      </c>
    </row>
    <row r="4">
      <c r="A4" s="53" t="s">
        <v>48</v>
      </c>
      <c r="B4" s="57">
        <f>'Tax Calculator'!B4</f>
        <v>15294</v>
      </c>
      <c r="C4" s="55"/>
      <c r="D4" s="56"/>
      <c r="F4" s="51" t="s">
        <v>49</v>
      </c>
      <c r="G4" s="52" t="s">
        <v>50</v>
      </c>
    </row>
    <row r="5">
      <c r="A5" s="53" t="s">
        <v>51</v>
      </c>
      <c r="B5" s="58">
        <f>B3*D5</f>
        <v>6450</v>
      </c>
      <c r="C5" s="59" t="s">
        <v>52</v>
      </c>
      <c r="D5" s="60">
        <v>0.06</v>
      </c>
      <c r="F5" s="51"/>
      <c r="G5" s="52"/>
    </row>
    <row r="6">
      <c r="A6" s="53" t="s">
        <v>53</v>
      </c>
      <c r="B6" s="58">
        <f>B3*D6</f>
        <v>1558.75</v>
      </c>
      <c r="C6" s="59" t="s">
        <v>54</v>
      </c>
      <c r="D6" s="60">
        <v>0.0145</v>
      </c>
      <c r="F6" s="51"/>
      <c r="G6" s="52"/>
    </row>
    <row r="7">
      <c r="A7" s="53" t="s">
        <v>55</v>
      </c>
      <c r="B7" s="58">
        <f>B3*D7</f>
        <v>6665</v>
      </c>
      <c r="C7" s="59" t="s">
        <v>56</v>
      </c>
      <c r="D7" s="60">
        <v>0.062</v>
      </c>
    </row>
    <row r="8">
      <c r="A8" s="53" t="s">
        <v>57</v>
      </c>
      <c r="B8" s="58">
        <f>B3*D8</f>
        <v>0</v>
      </c>
      <c r="C8" s="59" t="s">
        <v>58</v>
      </c>
      <c r="D8" s="60">
        <v>0.0</v>
      </c>
    </row>
    <row r="9">
      <c r="A9" s="61" t="s">
        <v>59</v>
      </c>
      <c r="B9" s="62">
        <f>(B3-(Sum(B4:B8)))/12</f>
        <v>6461.020833</v>
      </c>
      <c r="C9" s="63"/>
      <c r="D9" s="64"/>
    </row>
    <row r="10">
      <c r="B10" s="47"/>
      <c r="C10" s="47"/>
    </row>
    <row r="11">
      <c r="B11" s="47"/>
      <c r="C11" s="47"/>
    </row>
    <row r="12">
      <c r="A12" s="2" t="s">
        <v>60</v>
      </c>
      <c r="B12" s="65">
        <v>1200.0</v>
      </c>
      <c r="C12" s="47"/>
    </row>
    <row r="13">
      <c r="A13" s="2" t="s">
        <v>61</v>
      </c>
      <c r="B13" s="65">
        <v>400.0</v>
      </c>
      <c r="C13" s="47"/>
    </row>
    <row r="14">
      <c r="A14" s="2" t="s">
        <v>62</v>
      </c>
      <c r="B14" s="65">
        <v>250.0</v>
      </c>
      <c r="C14" s="47"/>
    </row>
    <row r="15">
      <c r="A15" s="2" t="s">
        <v>63</v>
      </c>
      <c r="B15" s="65">
        <v>200.0</v>
      </c>
      <c r="C15" s="47"/>
    </row>
    <row r="16">
      <c r="A16" s="2" t="s">
        <v>64</v>
      </c>
      <c r="B16" s="65">
        <v>150.0</v>
      </c>
      <c r="C16" s="47"/>
    </row>
    <row r="17">
      <c r="A17" s="2" t="s">
        <v>65</v>
      </c>
      <c r="B17" s="65">
        <v>300.0</v>
      </c>
      <c r="C17" s="47"/>
      <c r="E17" s="4" t="s">
        <v>66</v>
      </c>
    </row>
    <row r="18">
      <c r="A18" s="2" t="s">
        <v>67</v>
      </c>
      <c r="B18" s="66">
        <f>StudentLoanAmortizationSchedule!H3</f>
        <v>1669.15689</v>
      </c>
      <c r="C18" s="47"/>
      <c r="E18" s="67">
        <v>19500.0</v>
      </c>
    </row>
    <row r="19">
      <c r="A19" s="2" t="s">
        <v>68</v>
      </c>
      <c r="B19" s="65">
        <v>200.0</v>
      </c>
      <c r="C19" s="47"/>
      <c r="E19" s="4" t="s">
        <v>69</v>
      </c>
      <c r="F19" s="4" t="s">
        <v>70</v>
      </c>
    </row>
    <row r="20">
      <c r="A20" s="2" t="s">
        <v>71</v>
      </c>
      <c r="B20" s="68">
        <f>MIN(E20:F20)</f>
        <v>1625</v>
      </c>
      <c r="C20" s="46" t="s">
        <v>72</v>
      </c>
      <c r="E20" s="67">
        <f>E18/12</f>
        <v>1625</v>
      </c>
      <c r="F20" s="69">
        <v>2500.0</v>
      </c>
    </row>
    <row r="21">
      <c r="A21" s="4" t="s">
        <v>73</v>
      </c>
      <c r="B21" s="70">
        <f>B9-SUM(B12:B20)</f>
        <v>466.8639434</v>
      </c>
      <c r="C21" s="66">
        <f>B21*12*StudentLoanAmortizationSchedule!D5</f>
        <v>56023.67321</v>
      </c>
    </row>
    <row r="22">
      <c r="B22" s="47"/>
      <c r="C22" s="47"/>
    </row>
    <row r="23">
      <c r="A23" s="11" t="s">
        <v>13</v>
      </c>
      <c r="B23" s="71"/>
      <c r="C23" s="47"/>
    </row>
    <row r="24">
      <c r="B24" s="47"/>
      <c r="C24" s="47"/>
    </row>
    <row r="25">
      <c r="B25" s="47"/>
      <c r="C25" s="47"/>
    </row>
    <row r="26">
      <c r="B26" s="47"/>
      <c r="C26" s="47"/>
    </row>
    <row r="27">
      <c r="B27" s="47"/>
      <c r="C27" s="47"/>
    </row>
    <row r="28">
      <c r="B28" s="47"/>
      <c r="C28" s="47"/>
    </row>
    <row r="29">
      <c r="B29" s="47"/>
      <c r="C29" s="47"/>
    </row>
    <row r="30">
      <c r="B30" s="47"/>
      <c r="C30" s="47"/>
    </row>
    <row r="31">
      <c r="B31" s="47"/>
      <c r="C31" s="47"/>
    </row>
    <row r="32">
      <c r="B32" s="47"/>
      <c r="C32" s="47"/>
    </row>
    <row r="33">
      <c r="B33" s="47"/>
      <c r="C33" s="47"/>
    </row>
    <row r="34">
      <c r="B34" s="47"/>
      <c r="C34" s="47"/>
    </row>
    <row r="35">
      <c r="B35" s="47"/>
      <c r="C35" s="47"/>
    </row>
    <row r="36">
      <c r="B36" s="47"/>
      <c r="C36" s="47"/>
    </row>
    <row r="37">
      <c r="B37" s="47"/>
      <c r="C37" s="47"/>
    </row>
    <row r="38">
      <c r="B38" s="47"/>
      <c r="C38" s="47"/>
    </row>
    <row r="39">
      <c r="B39" s="47"/>
      <c r="C39" s="47"/>
    </row>
    <row r="40">
      <c r="B40" s="47"/>
      <c r="C40" s="47"/>
    </row>
    <row r="41">
      <c r="B41" s="47"/>
      <c r="C41" s="47"/>
    </row>
    <row r="42">
      <c r="B42" s="47"/>
      <c r="C42" s="47"/>
    </row>
    <row r="43">
      <c r="B43" s="47"/>
      <c r="C43" s="47"/>
    </row>
    <row r="44">
      <c r="B44" s="47"/>
      <c r="C44" s="47"/>
    </row>
    <row r="45">
      <c r="B45" s="47"/>
      <c r="C45" s="47"/>
    </row>
    <row r="46">
      <c r="B46" s="47"/>
      <c r="C46" s="47"/>
    </row>
    <row r="47">
      <c r="B47" s="47"/>
      <c r="C47" s="47"/>
    </row>
    <row r="48">
      <c r="B48" s="47"/>
      <c r="C48" s="47"/>
    </row>
    <row r="49">
      <c r="B49" s="47"/>
      <c r="C49" s="47"/>
    </row>
    <row r="50">
      <c r="B50" s="47"/>
      <c r="C50" s="47"/>
    </row>
    <row r="51">
      <c r="B51" s="47"/>
      <c r="C51" s="47"/>
    </row>
    <row r="52">
      <c r="B52" s="47"/>
      <c r="C52" s="47"/>
    </row>
    <row r="53">
      <c r="B53" s="47"/>
      <c r="C53" s="47"/>
    </row>
    <row r="54">
      <c r="B54" s="47"/>
      <c r="C54" s="47"/>
    </row>
    <row r="55">
      <c r="B55" s="47"/>
      <c r="C55" s="47"/>
    </row>
    <row r="56">
      <c r="B56" s="47"/>
      <c r="C56" s="47"/>
    </row>
    <row r="57">
      <c r="B57" s="47"/>
      <c r="C57" s="47"/>
    </row>
    <row r="58">
      <c r="B58" s="47"/>
      <c r="C58" s="47"/>
    </row>
    <row r="59">
      <c r="B59" s="47"/>
      <c r="C59" s="47"/>
    </row>
    <row r="60">
      <c r="B60" s="47"/>
      <c r="C60" s="47"/>
    </row>
    <row r="61">
      <c r="B61" s="47"/>
      <c r="C61" s="47"/>
    </row>
    <row r="62">
      <c r="B62" s="47"/>
      <c r="C62" s="47"/>
    </row>
    <row r="63">
      <c r="B63" s="47"/>
      <c r="C63" s="47"/>
    </row>
    <row r="64">
      <c r="B64" s="47"/>
      <c r="C64" s="47"/>
    </row>
    <row r="65">
      <c r="B65" s="47"/>
      <c r="C65" s="47"/>
    </row>
    <row r="66">
      <c r="B66" s="47"/>
      <c r="C66" s="47"/>
    </row>
    <row r="67">
      <c r="B67" s="47"/>
      <c r="C67" s="47"/>
    </row>
    <row r="68">
      <c r="B68" s="47"/>
      <c r="C68" s="47"/>
    </row>
    <row r="69">
      <c r="B69" s="47"/>
      <c r="C69" s="47"/>
    </row>
    <row r="70">
      <c r="B70" s="47"/>
      <c r="C70" s="47"/>
    </row>
    <row r="71">
      <c r="B71" s="47"/>
      <c r="C71" s="47"/>
    </row>
    <row r="72">
      <c r="B72" s="47"/>
      <c r="C72" s="47"/>
    </row>
    <row r="73">
      <c r="B73" s="47"/>
      <c r="C73" s="47"/>
    </row>
    <row r="74">
      <c r="B74" s="47"/>
      <c r="C74" s="47"/>
    </row>
    <row r="75">
      <c r="B75" s="47"/>
      <c r="C75" s="47"/>
    </row>
    <row r="76">
      <c r="B76" s="47"/>
      <c r="C76" s="47"/>
    </row>
    <row r="77">
      <c r="B77" s="47"/>
      <c r="C77" s="47"/>
    </row>
    <row r="78">
      <c r="B78" s="47"/>
      <c r="C78" s="47"/>
    </row>
    <row r="79">
      <c r="B79" s="47"/>
      <c r="C79" s="47"/>
    </row>
    <row r="80">
      <c r="B80" s="47"/>
      <c r="C80" s="47"/>
    </row>
    <row r="81">
      <c r="B81" s="47"/>
      <c r="C81" s="47"/>
    </row>
    <row r="82">
      <c r="B82" s="47"/>
      <c r="C82" s="47"/>
    </row>
    <row r="83">
      <c r="B83" s="47"/>
      <c r="C83" s="47"/>
    </row>
    <row r="84">
      <c r="B84" s="47"/>
      <c r="C84" s="47"/>
    </row>
    <row r="85">
      <c r="B85" s="47"/>
      <c r="C85" s="47"/>
    </row>
    <row r="86">
      <c r="B86" s="47"/>
      <c r="C86" s="47"/>
    </row>
    <row r="87">
      <c r="B87" s="47"/>
      <c r="C87" s="47"/>
    </row>
    <row r="88">
      <c r="B88" s="47"/>
      <c r="C88" s="47"/>
    </row>
    <row r="89">
      <c r="B89" s="47"/>
      <c r="C89" s="47"/>
    </row>
    <row r="90">
      <c r="B90" s="47"/>
      <c r="C90" s="47"/>
    </row>
    <row r="91">
      <c r="B91" s="47"/>
      <c r="C91" s="47"/>
    </row>
    <row r="92">
      <c r="B92" s="47"/>
      <c r="C92" s="47"/>
    </row>
    <row r="93">
      <c r="B93" s="47"/>
      <c r="C93" s="47"/>
    </row>
    <row r="94">
      <c r="B94" s="47"/>
      <c r="C94" s="47"/>
    </row>
    <row r="95">
      <c r="B95" s="47"/>
      <c r="C95" s="47"/>
    </row>
    <row r="96">
      <c r="B96" s="47"/>
      <c r="C96" s="47"/>
    </row>
    <row r="97">
      <c r="B97" s="47"/>
      <c r="C97" s="47"/>
    </row>
    <row r="98">
      <c r="B98" s="47"/>
      <c r="C98" s="47"/>
    </row>
    <row r="99">
      <c r="B99" s="47"/>
      <c r="C99" s="47"/>
    </row>
    <row r="100">
      <c r="B100" s="47"/>
      <c r="C100" s="47"/>
    </row>
    <row r="101">
      <c r="B101" s="47"/>
      <c r="C101" s="47"/>
    </row>
    <row r="102">
      <c r="B102" s="47"/>
      <c r="C102" s="47"/>
    </row>
    <row r="103">
      <c r="B103" s="47"/>
      <c r="C103" s="47"/>
    </row>
    <row r="104">
      <c r="B104" s="47"/>
      <c r="C104" s="47"/>
    </row>
    <row r="105">
      <c r="B105" s="47"/>
      <c r="C105" s="47"/>
    </row>
    <row r="106">
      <c r="B106" s="47"/>
      <c r="C106" s="47"/>
    </row>
    <row r="107">
      <c r="B107" s="47"/>
      <c r="C107" s="47"/>
    </row>
    <row r="108">
      <c r="B108" s="47"/>
      <c r="C108" s="47"/>
    </row>
    <row r="109">
      <c r="B109" s="47"/>
      <c r="C109" s="47"/>
    </row>
    <row r="110">
      <c r="B110" s="47"/>
      <c r="C110" s="47"/>
    </row>
    <row r="111">
      <c r="B111" s="47"/>
      <c r="C111" s="47"/>
    </row>
    <row r="112">
      <c r="B112" s="47"/>
      <c r="C112" s="47"/>
    </row>
    <row r="113">
      <c r="B113" s="47"/>
      <c r="C113" s="47"/>
    </row>
    <row r="114">
      <c r="B114" s="47"/>
      <c r="C114" s="47"/>
    </row>
    <row r="115">
      <c r="B115" s="47"/>
      <c r="C115" s="47"/>
    </row>
    <row r="116">
      <c r="B116" s="47"/>
      <c r="C116" s="47"/>
    </row>
    <row r="117">
      <c r="B117" s="47"/>
      <c r="C117" s="47"/>
    </row>
    <row r="118">
      <c r="B118" s="47"/>
      <c r="C118" s="47"/>
    </row>
    <row r="119">
      <c r="B119" s="47"/>
      <c r="C119" s="47"/>
    </row>
    <row r="120">
      <c r="B120" s="47"/>
      <c r="C120" s="47"/>
    </row>
    <row r="121">
      <c r="B121" s="47"/>
      <c r="C121" s="47"/>
    </row>
    <row r="122">
      <c r="B122" s="47"/>
      <c r="C122" s="47"/>
    </row>
    <row r="123">
      <c r="B123" s="47"/>
      <c r="C123" s="47"/>
    </row>
    <row r="124">
      <c r="B124" s="47"/>
      <c r="C124" s="47"/>
    </row>
    <row r="125">
      <c r="B125" s="47"/>
      <c r="C125" s="47"/>
    </row>
    <row r="126">
      <c r="B126" s="47"/>
      <c r="C126" s="47"/>
    </row>
    <row r="127">
      <c r="B127" s="47"/>
      <c r="C127" s="47"/>
    </row>
    <row r="128">
      <c r="B128" s="47"/>
      <c r="C128" s="47"/>
    </row>
    <row r="129">
      <c r="B129" s="47"/>
      <c r="C129" s="47"/>
    </row>
    <row r="130">
      <c r="B130" s="47"/>
      <c r="C130" s="47"/>
    </row>
    <row r="131">
      <c r="B131" s="47"/>
      <c r="C131" s="47"/>
    </row>
    <row r="132">
      <c r="B132" s="47"/>
      <c r="C132" s="47"/>
    </row>
    <row r="133">
      <c r="B133" s="47"/>
      <c r="C133" s="47"/>
    </row>
    <row r="134">
      <c r="B134" s="47"/>
      <c r="C134" s="47"/>
    </row>
    <row r="135">
      <c r="B135" s="47"/>
      <c r="C135" s="47"/>
    </row>
    <row r="136">
      <c r="B136" s="47"/>
      <c r="C136" s="47"/>
    </row>
    <row r="137">
      <c r="B137" s="47"/>
      <c r="C137" s="47"/>
    </row>
    <row r="138">
      <c r="B138" s="47"/>
      <c r="C138" s="47"/>
    </row>
    <row r="139">
      <c r="B139" s="47"/>
      <c r="C139" s="47"/>
    </row>
    <row r="140">
      <c r="B140" s="47"/>
      <c r="C140" s="47"/>
    </row>
    <row r="141">
      <c r="B141" s="47"/>
      <c r="C141" s="47"/>
    </row>
    <row r="142">
      <c r="B142" s="47"/>
      <c r="C142" s="47"/>
    </row>
    <row r="143">
      <c r="B143" s="47"/>
      <c r="C143" s="47"/>
    </row>
    <row r="144">
      <c r="B144" s="47"/>
      <c r="C144" s="47"/>
    </row>
    <row r="145">
      <c r="B145" s="47"/>
      <c r="C145" s="47"/>
    </row>
    <row r="146">
      <c r="B146" s="47"/>
      <c r="C146" s="47"/>
    </row>
    <row r="147">
      <c r="B147" s="47"/>
      <c r="C147" s="47"/>
    </row>
    <row r="148">
      <c r="B148" s="47"/>
      <c r="C148" s="47"/>
    </row>
    <row r="149">
      <c r="B149" s="47"/>
      <c r="C149" s="47"/>
    </row>
    <row r="150">
      <c r="B150" s="47"/>
      <c r="C150" s="47"/>
    </row>
    <row r="151">
      <c r="B151" s="47"/>
      <c r="C151" s="47"/>
    </row>
    <row r="152">
      <c r="B152" s="47"/>
      <c r="C152" s="47"/>
    </row>
    <row r="153">
      <c r="B153" s="47"/>
      <c r="C153" s="47"/>
    </row>
    <row r="154">
      <c r="B154" s="47"/>
      <c r="C154" s="47"/>
    </row>
    <row r="155">
      <c r="B155" s="47"/>
      <c r="C155" s="47"/>
    </row>
    <row r="156">
      <c r="B156" s="47"/>
      <c r="C156" s="47"/>
    </row>
    <row r="157">
      <c r="B157" s="47"/>
      <c r="C157" s="47"/>
    </row>
    <row r="158">
      <c r="B158" s="47"/>
      <c r="C158" s="47"/>
    </row>
    <row r="159">
      <c r="B159" s="47"/>
      <c r="C159" s="47"/>
    </row>
    <row r="160">
      <c r="B160" s="47"/>
      <c r="C160" s="47"/>
    </row>
    <row r="161">
      <c r="B161" s="47"/>
      <c r="C161" s="47"/>
    </row>
    <row r="162">
      <c r="B162" s="47"/>
      <c r="C162" s="47"/>
    </row>
    <row r="163">
      <c r="B163" s="47"/>
      <c r="C163" s="47"/>
    </row>
    <row r="164">
      <c r="B164" s="47"/>
      <c r="C164" s="47"/>
    </row>
    <row r="165">
      <c r="B165" s="47"/>
      <c r="C165" s="47"/>
    </row>
    <row r="166">
      <c r="B166" s="47"/>
      <c r="C166" s="47"/>
    </row>
    <row r="167">
      <c r="B167" s="47"/>
      <c r="C167" s="47"/>
    </row>
    <row r="168">
      <c r="B168" s="47"/>
      <c r="C168" s="47"/>
    </row>
    <row r="169">
      <c r="B169" s="47"/>
      <c r="C169" s="47"/>
    </row>
    <row r="170">
      <c r="B170" s="47"/>
      <c r="C170" s="47"/>
    </row>
    <row r="171">
      <c r="B171" s="47"/>
      <c r="C171" s="47"/>
    </row>
    <row r="172">
      <c r="B172" s="47"/>
      <c r="C172" s="47"/>
    </row>
    <row r="173">
      <c r="B173" s="47"/>
      <c r="C173" s="47"/>
    </row>
    <row r="174">
      <c r="B174" s="47"/>
      <c r="C174" s="47"/>
    </row>
    <row r="175">
      <c r="B175" s="47"/>
      <c r="C175" s="47"/>
    </row>
    <row r="176">
      <c r="B176" s="47"/>
      <c r="C176" s="47"/>
    </row>
    <row r="177">
      <c r="B177" s="47"/>
      <c r="C177" s="47"/>
    </row>
    <row r="178">
      <c r="B178" s="47"/>
      <c r="C178" s="47"/>
    </row>
    <row r="179">
      <c r="B179" s="47"/>
      <c r="C179" s="47"/>
    </row>
    <row r="180">
      <c r="B180" s="47"/>
      <c r="C180" s="47"/>
    </row>
    <row r="181">
      <c r="B181" s="47"/>
      <c r="C181" s="47"/>
    </row>
    <row r="182">
      <c r="B182" s="47"/>
      <c r="C182" s="47"/>
    </row>
    <row r="183">
      <c r="B183" s="47"/>
      <c r="C183" s="47"/>
    </row>
    <row r="184">
      <c r="B184" s="47"/>
      <c r="C184" s="47"/>
    </row>
    <row r="185">
      <c r="B185" s="47"/>
      <c r="C185" s="47"/>
    </row>
    <row r="186">
      <c r="B186" s="47"/>
      <c r="C186" s="47"/>
    </row>
    <row r="187">
      <c r="B187" s="47"/>
      <c r="C187" s="47"/>
    </row>
    <row r="188">
      <c r="B188" s="47"/>
      <c r="C188" s="47"/>
    </row>
    <row r="189">
      <c r="B189" s="47"/>
      <c r="C189" s="47"/>
    </row>
    <row r="190">
      <c r="B190" s="47"/>
      <c r="C190" s="47"/>
    </row>
    <row r="191">
      <c r="B191" s="47"/>
      <c r="C191" s="47"/>
    </row>
    <row r="192">
      <c r="B192" s="47"/>
      <c r="C192" s="47"/>
    </row>
    <row r="193">
      <c r="B193" s="47"/>
      <c r="C193" s="47"/>
    </row>
    <row r="194">
      <c r="B194" s="47"/>
      <c r="C194" s="47"/>
    </row>
    <row r="195">
      <c r="B195" s="47"/>
      <c r="C195" s="47"/>
    </row>
    <row r="196">
      <c r="B196" s="47"/>
      <c r="C196" s="47"/>
    </row>
    <row r="197">
      <c r="B197" s="47"/>
      <c r="C197" s="47"/>
    </row>
    <row r="198">
      <c r="B198" s="47"/>
      <c r="C198" s="47"/>
    </row>
    <row r="199">
      <c r="B199" s="47"/>
      <c r="C199" s="47"/>
    </row>
    <row r="200">
      <c r="B200" s="47"/>
      <c r="C200" s="47"/>
    </row>
    <row r="201">
      <c r="B201" s="47"/>
      <c r="C201" s="47"/>
    </row>
    <row r="202">
      <c r="B202" s="47"/>
      <c r="C202" s="47"/>
    </row>
    <row r="203">
      <c r="B203" s="47"/>
      <c r="C203" s="47"/>
    </row>
    <row r="204">
      <c r="B204" s="47"/>
      <c r="C204" s="47"/>
    </row>
    <row r="205">
      <c r="B205" s="47"/>
      <c r="C205" s="47"/>
    </row>
    <row r="206">
      <c r="B206" s="47"/>
      <c r="C206" s="47"/>
    </row>
    <row r="207">
      <c r="B207" s="47"/>
      <c r="C207" s="47"/>
    </row>
    <row r="208">
      <c r="B208" s="47"/>
      <c r="C208" s="47"/>
    </row>
    <row r="209">
      <c r="B209" s="47"/>
      <c r="C209" s="47"/>
    </row>
    <row r="210">
      <c r="B210" s="47"/>
      <c r="C210" s="47"/>
    </row>
    <row r="211">
      <c r="B211" s="47"/>
      <c r="C211" s="47"/>
    </row>
    <row r="212">
      <c r="B212" s="47"/>
      <c r="C212" s="47"/>
    </row>
    <row r="213">
      <c r="B213" s="47"/>
      <c r="C213" s="47"/>
    </row>
    <row r="214">
      <c r="B214" s="47"/>
      <c r="C214" s="47"/>
    </row>
    <row r="215">
      <c r="B215" s="47"/>
      <c r="C215" s="47"/>
    </row>
    <row r="216">
      <c r="B216" s="47"/>
      <c r="C216" s="47"/>
    </row>
    <row r="217">
      <c r="B217" s="47"/>
      <c r="C217" s="47"/>
    </row>
    <row r="218">
      <c r="B218" s="47"/>
      <c r="C218" s="47"/>
    </row>
    <row r="219">
      <c r="B219" s="47"/>
      <c r="C219" s="47"/>
    </row>
    <row r="220">
      <c r="B220" s="47"/>
      <c r="C220" s="47"/>
    </row>
    <row r="221">
      <c r="B221" s="47"/>
      <c r="C221" s="47"/>
    </row>
    <row r="222">
      <c r="B222" s="47"/>
      <c r="C222" s="47"/>
    </row>
    <row r="223">
      <c r="B223" s="47"/>
      <c r="C223" s="47"/>
    </row>
    <row r="224">
      <c r="B224" s="47"/>
      <c r="C224" s="47"/>
    </row>
    <row r="225">
      <c r="B225" s="47"/>
      <c r="C225" s="47"/>
    </row>
    <row r="226">
      <c r="B226" s="47"/>
      <c r="C226" s="47"/>
    </row>
    <row r="227">
      <c r="B227" s="47"/>
      <c r="C227" s="47"/>
    </row>
    <row r="228">
      <c r="B228" s="47"/>
      <c r="C228" s="47"/>
    </row>
    <row r="229">
      <c r="B229" s="47"/>
      <c r="C229" s="47"/>
    </row>
    <row r="230">
      <c r="B230" s="47"/>
      <c r="C230" s="47"/>
    </row>
    <row r="231">
      <c r="B231" s="47"/>
      <c r="C231" s="47"/>
    </row>
    <row r="232">
      <c r="B232" s="47"/>
      <c r="C232" s="47"/>
    </row>
    <row r="233">
      <c r="B233" s="47"/>
      <c r="C233" s="47"/>
    </row>
    <row r="234">
      <c r="B234" s="47"/>
      <c r="C234" s="47"/>
    </row>
    <row r="235">
      <c r="B235" s="47"/>
      <c r="C235" s="47"/>
    </row>
    <row r="236">
      <c r="B236" s="47"/>
      <c r="C236" s="47"/>
    </row>
    <row r="237">
      <c r="B237" s="47"/>
      <c r="C237" s="47"/>
    </row>
    <row r="238">
      <c r="B238" s="47"/>
      <c r="C238" s="47"/>
    </row>
    <row r="239">
      <c r="B239" s="47"/>
      <c r="C239" s="47"/>
    </row>
    <row r="240">
      <c r="B240" s="47"/>
      <c r="C240" s="47"/>
    </row>
    <row r="241">
      <c r="B241" s="47"/>
      <c r="C241" s="47"/>
    </row>
    <row r="242">
      <c r="B242" s="47"/>
      <c r="C242" s="47"/>
    </row>
    <row r="243">
      <c r="B243" s="47"/>
      <c r="C243" s="47"/>
    </row>
    <row r="244">
      <c r="B244" s="47"/>
      <c r="C244" s="47"/>
    </row>
    <row r="245">
      <c r="B245" s="47"/>
      <c r="C245" s="47"/>
    </row>
    <row r="246">
      <c r="B246" s="47"/>
      <c r="C246" s="47"/>
    </row>
    <row r="247">
      <c r="B247" s="47"/>
      <c r="C247" s="47"/>
    </row>
    <row r="248">
      <c r="B248" s="47"/>
      <c r="C248" s="47"/>
    </row>
    <row r="249">
      <c r="B249" s="47"/>
      <c r="C249" s="47"/>
    </row>
    <row r="250">
      <c r="B250" s="47"/>
      <c r="C250" s="47"/>
    </row>
    <row r="251">
      <c r="B251" s="47"/>
      <c r="C251" s="47"/>
    </row>
    <row r="252">
      <c r="B252" s="47"/>
      <c r="C252" s="47"/>
    </row>
    <row r="253">
      <c r="B253" s="47"/>
      <c r="C253" s="47"/>
    </row>
    <row r="254">
      <c r="B254" s="47"/>
      <c r="C254" s="47"/>
    </row>
    <row r="255">
      <c r="B255" s="47"/>
      <c r="C255" s="47"/>
    </row>
    <row r="256">
      <c r="B256" s="47"/>
      <c r="C256" s="47"/>
    </row>
    <row r="257">
      <c r="B257" s="47"/>
      <c r="C257" s="47"/>
    </row>
    <row r="258">
      <c r="B258" s="47"/>
      <c r="C258" s="47"/>
    </row>
    <row r="259">
      <c r="B259" s="47"/>
      <c r="C259" s="47"/>
    </row>
    <row r="260">
      <c r="B260" s="47"/>
      <c r="C260" s="47"/>
    </row>
    <row r="261">
      <c r="B261" s="47"/>
      <c r="C261" s="47"/>
    </row>
    <row r="262">
      <c r="B262" s="47"/>
      <c r="C262" s="47"/>
    </row>
    <row r="263">
      <c r="B263" s="47"/>
      <c r="C263" s="47"/>
    </row>
    <row r="264">
      <c r="B264" s="47"/>
      <c r="C264" s="47"/>
    </row>
    <row r="265">
      <c r="B265" s="47"/>
      <c r="C265" s="47"/>
    </row>
    <row r="266">
      <c r="B266" s="47"/>
      <c r="C266" s="47"/>
    </row>
    <row r="267">
      <c r="B267" s="47"/>
      <c r="C267" s="47"/>
    </row>
    <row r="268">
      <c r="B268" s="47"/>
      <c r="C268" s="47"/>
    </row>
    <row r="269">
      <c r="B269" s="47"/>
      <c r="C269" s="47"/>
    </row>
    <row r="270">
      <c r="B270" s="47"/>
      <c r="C270" s="47"/>
    </row>
    <row r="271">
      <c r="B271" s="47"/>
      <c r="C271" s="47"/>
    </row>
    <row r="272">
      <c r="B272" s="47"/>
      <c r="C272" s="47"/>
    </row>
    <row r="273">
      <c r="B273" s="47"/>
      <c r="C273" s="47"/>
    </row>
    <row r="274">
      <c r="B274" s="47"/>
      <c r="C274" s="47"/>
    </row>
    <row r="275">
      <c r="B275" s="47"/>
      <c r="C275" s="47"/>
    </row>
    <row r="276">
      <c r="B276" s="47"/>
      <c r="C276" s="47"/>
    </row>
    <row r="277">
      <c r="B277" s="47"/>
      <c r="C277" s="47"/>
    </row>
    <row r="278">
      <c r="B278" s="47"/>
      <c r="C278" s="47"/>
    </row>
    <row r="279">
      <c r="B279" s="47"/>
      <c r="C279" s="47"/>
    </row>
    <row r="280">
      <c r="B280" s="47"/>
      <c r="C280" s="47"/>
    </row>
    <row r="281">
      <c r="B281" s="47"/>
      <c r="C281" s="47"/>
    </row>
    <row r="282">
      <c r="B282" s="47"/>
      <c r="C282" s="47"/>
    </row>
    <row r="283">
      <c r="B283" s="47"/>
      <c r="C283" s="47"/>
    </row>
    <row r="284">
      <c r="B284" s="47"/>
      <c r="C284" s="47"/>
    </row>
    <row r="285">
      <c r="B285" s="47"/>
      <c r="C285" s="47"/>
    </row>
    <row r="286">
      <c r="B286" s="47"/>
      <c r="C286" s="47"/>
    </row>
    <row r="287">
      <c r="B287" s="47"/>
      <c r="C287" s="47"/>
    </row>
    <row r="288">
      <c r="B288" s="47"/>
      <c r="C288" s="47"/>
    </row>
    <row r="289">
      <c r="B289" s="47"/>
      <c r="C289" s="47"/>
    </row>
    <row r="290">
      <c r="B290" s="47"/>
      <c r="C290" s="47"/>
    </row>
    <row r="291">
      <c r="B291" s="47"/>
      <c r="C291" s="47"/>
    </row>
    <row r="292">
      <c r="B292" s="47"/>
      <c r="C292" s="47"/>
    </row>
    <row r="293">
      <c r="B293" s="47"/>
      <c r="C293" s="47"/>
    </row>
    <row r="294">
      <c r="B294" s="47"/>
      <c r="C294" s="47"/>
    </row>
    <row r="295">
      <c r="B295" s="47"/>
      <c r="C295" s="47"/>
    </row>
    <row r="296">
      <c r="B296" s="47"/>
      <c r="C296" s="47"/>
    </row>
    <row r="297">
      <c r="B297" s="47"/>
      <c r="C297" s="47"/>
    </row>
    <row r="298">
      <c r="B298" s="47"/>
      <c r="C298" s="47"/>
    </row>
    <row r="299">
      <c r="B299" s="47"/>
      <c r="C299" s="47"/>
    </row>
    <row r="300">
      <c r="B300" s="47"/>
      <c r="C300" s="47"/>
    </row>
    <row r="301">
      <c r="B301" s="47"/>
      <c r="C301" s="47"/>
    </row>
    <row r="302">
      <c r="B302" s="47"/>
      <c r="C302" s="47"/>
    </row>
    <row r="303">
      <c r="B303" s="47"/>
      <c r="C303" s="47"/>
    </row>
    <row r="304">
      <c r="B304" s="47"/>
      <c r="C304" s="47"/>
    </row>
    <row r="305">
      <c r="B305" s="47"/>
      <c r="C305" s="47"/>
    </row>
    <row r="306">
      <c r="B306" s="47"/>
      <c r="C306" s="47"/>
    </row>
    <row r="307">
      <c r="B307" s="47"/>
      <c r="C307" s="47"/>
    </row>
    <row r="308">
      <c r="B308" s="47"/>
      <c r="C308" s="47"/>
    </row>
    <row r="309">
      <c r="B309" s="47"/>
      <c r="C309" s="47"/>
    </row>
    <row r="310">
      <c r="B310" s="47"/>
      <c r="C310" s="47"/>
    </row>
    <row r="311">
      <c r="B311" s="47"/>
      <c r="C311" s="47"/>
    </row>
    <row r="312">
      <c r="B312" s="47"/>
      <c r="C312" s="47"/>
    </row>
    <row r="313">
      <c r="B313" s="47"/>
      <c r="C313" s="47"/>
    </row>
    <row r="314">
      <c r="B314" s="47"/>
      <c r="C314" s="47"/>
    </row>
    <row r="315">
      <c r="B315" s="47"/>
      <c r="C315" s="47"/>
    </row>
    <row r="316">
      <c r="B316" s="47"/>
      <c r="C316" s="47"/>
    </row>
    <row r="317">
      <c r="B317" s="47"/>
      <c r="C317" s="47"/>
    </row>
    <row r="318">
      <c r="B318" s="47"/>
      <c r="C318" s="47"/>
    </row>
    <row r="319">
      <c r="B319" s="47"/>
      <c r="C319" s="47"/>
    </row>
    <row r="320">
      <c r="B320" s="47"/>
      <c r="C320" s="47"/>
    </row>
    <row r="321">
      <c r="B321" s="47"/>
      <c r="C321" s="47"/>
    </row>
    <row r="322">
      <c r="B322" s="47"/>
      <c r="C322" s="47"/>
    </row>
    <row r="323">
      <c r="B323" s="47"/>
      <c r="C323" s="47"/>
    </row>
    <row r="324">
      <c r="B324" s="47"/>
      <c r="C324" s="47"/>
    </row>
    <row r="325">
      <c r="B325" s="47"/>
      <c r="C325" s="47"/>
    </row>
    <row r="326">
      <c r="B326" s="47"/>
      <c r="C326" s="47"/>
    </row>
    <row r="327">
      <c r="B327" s="47"/>
      <c r="C327" s="47"/>
    </row>
    <row r="328">
      <c r="B328" s="47"/>
      <c r="C328" s="47"/>
    </row>
    <row r="329">
      <c r="B329" s="47"/>
      <c r="C329" s="47"/>
    </row>
    <row r="330">
      <c r="B330" s="47"/>
      <c r="C330" s="47"/>
    </row>
    <row r="331">
      <c r="B331" s="47"/>
      <c r="C331" s="47"/>
    </row>
    <row r="332">
      <c r="B332" s="47"/>
      <c r="C332" s="47"/>
    </row>
    <row r="333">
      <c r="B333" s="47"/>
      <c r="C333" s="47"/>
    </row>
    <row r="334">
      <c r="B334" s="47"/>
      <c r="C334" s="47"/>
    </row>
    <row r="335">
      <c r="B335" s="47"/>
      <c r="C335" s="47"/>
    </row>
    <row r="336">
      <c r="B336" s="47"/>
      <c r="C336" s="47"/>
    </row>
    <row r="337">
      <c r="B337" s="47"/>
      <c r="C337" s="47"/>
    </row>
    <row r="338">
      <c r="B338" s="47"/>
      <c r="C338" s="47"/>
    </row>
    <row r="339">
      <c r="B339" s="47"/>
      <c r="C339" s="47"/>
    </row>
    <row r="340">
      <c r="B340" s="47"/>
      <c r="C340" s="47"/>
    </row>
    <row r="341">
      <c r="B341" s="47"/>
      <c r="C341" s="47"/>
    </row>
    <row r="342">
      <c r="B342" s="47"/>
      <c r="C342" s="47"/>
    </row>
    <row r="343">
      <c r="B343" s="47"/>
      <c r="C343" s="47"/>
    </row>
    <row r="344">
      <c r="B344" s="47"/>
      <c r="C344" s="47"/>
    </row>
    <row r="345">
      <c r="B345" s="47"/>
      <c r="C345" s="47"/>
    </row>
    <row r="346">
      <c r="B346" s="47"/>
      <c r="C346" s="47"/>
    </row>
    <row r="347">
      <c r="B347" s="47"/>
      <c r="C347" s="47"/>
    </row>
    <row r="348">
      <c r="B348" s="47"/>
      <c r="C348" s="47"/>
    </row>
    <row r="349">
      <c r="B349" s="47"/>
      <c r="C349" s="47"/>
    </row>
    <row r="350">
      <c r="B350" s="47"/>
      <c r="C350" s="47"/>
    </row>
    <row r="351">
      <c r="B351" s="47"/>
      <c r="C351" s="47"/>
    </row>
    <row r="352">
      <c r="B352" s="47"/>
      <c r="C352" s="47"/>
    </row>
    <row r="353">
      <c r="B353" s="47"/>
      <c r="C353" s="47"/>
    </row>
    <row r="354">
      <c r="B354" s="47"/>
      <c r="C354" s="47"/>
    </row>
    <row r="355">
      <c r="B355" s="47"/>
      <c r="C355" s="47"/>
    </row>
    <row r="356">
      <c r="B356" s="47"/>
      <c r="C356" s="47"/>
    </row>
    <row r="357">
      <c r="B357" s="47"/>
      <c r="C357" s="47"/>
    </row>
    <row r="358">
      <c r="B358" s="47"/>
      <c r="C358" s="47"/>
    </row>
    <row r="359">
      <c r="B359" s="47"/>
      <c r="C359" s="47"/>
    </row>
    <row r="360">
      <c r="B360" s="47"/>
      <c r="C360" s="47"/>
    </row>
    <row r="361">
      <c r="B361" s="47"/>
      <c r="C361" s="47"/>
    </row>
    <row r="362">
      <c r="B362" s="47"/>
      <c r="C362" s="47"/>
    </row>
    <row r="363">
      <c r="B363" s="47"/>
      <c r="C363" s="47"/>
    </row>
    <row r="364">
      <c r="B364" s="47"/>
      <c r="C364" s="47"/>
    </row>
    <row r="365">
      <c r="B365" s="47"/>
      <c r="C365" s="47"/>
    </row>
    <row r="366">
      <c r="B366" s="47"/>
      <c r="C366" s="47"/>
    </row>
    <row r="367">
      <c r="B367" s="47"/>
      <c r="C367" s="47"/>
    </row>
    <row r="368">
      <c r="B368" s="47"/>
      <c r="C368" s="47"/>
    </row>
    <row r="369">
      <c r="B369" s="47"/>
      <c r="C369" s="47"/>
    </row>
    <row r="370">
      <c r="B370" s="47"/>
      <c r="C370" s="47"/>
    </row>
    <row r="371">
      <c r="B371" s="47"/>
      <c r="C371" s="47"/>
    </row>
    <row r="372">
      <c r="B372" s="47"/>
      <c r="C372" s="47"/>
    </row>
    <row r="373">
      <c r="B373" s="47"/>
      <c r="C373" s="47"/>
    </row>
    <row r="374">
      <c r="B374" s="47"/>
      <c r="C374" s="47"/>
    </row>
    <row r="375">
      <c r="B375" s="47"/>
      <c r="C375" s="47"/>
    </row>
    <row r="376">
      <c r="B376" s="47"/>
      <c r="C376" s="47"/>
    </row>
    <row r="377">
      <c r="B377" s="47"/>
      <c r="C377" s="47"/>
    </row>
    <row r="378">
      <c r="B378" s="47"/>
      <c r="C378" s="47"/>
    </row>
    <row r="379">
      <c r="B379" s="47"/>
      <c r="C379" s="47"/>
    </row>
    <row r="380">
      <c r="B380" s="47"/>
      <c r="C380" s="47"/>
    </row>
    <row r="381">
      <c r="B381" s="47"/>
      <c r="C381" s="47"/>
    </row>
    <row r="382">
      <c r="B382" s="47"/>
      <c r="C382" s="47"/>
    </row>
    <row r="383">
      <c r="B383" s="47"/>
      <c r="C383" s="47"/>
    </row>
    <row r="384">
      <c r="B384" s="47"/>
      <c r="C384" s="47"/>
    </row>
    <row r="385">
      <c r="B385" s="47"/>
      <c r="C385" s="47"/>
    </row>
    <row r="386">
      <c r="B386" s="47"/>
      <c r="C386" s="47"/>
    </row>
    <row r="387">
      <c r="B387" s="47"/>
      <c r="C387" s="47"/>
    </row>
    <row r="388">
      <c r="B388" s="47"/>
      <c r="C388" s="47"/>
    </row>
    <row r="389">
      <c r="B389" s="47"/>
      <c r="C389" s="47"/>
    </row>
    <row r="390">
      <c r="B390" s="47"/>
      <c r="C390" s="47"/>
    </row>
    <row r="391">
      <c r="B391" s="47"/>
      <c r="C391" s="47"/>
    </row>
    <row r="392">
      <c r="B392" s="47"/>
      <c r="C392" s="47"/>
    </row>
    <row r="393">
      <c r="B393" s="47"/>
      <c r="C393" s="47"/>
    </row>
    <row r="394">
      <c r="B394" s="47"/>
      <c r="C394" s="47"/>
    </row>
    <row r="395">
      <c r="B395" s="47"/>
      <c r="C395" s="47"/>
    </row>
    <row r="396">
      <c r="B396" s="47"/>
      <c r="C396" s="47"/>
    </row>
    <row r="397">
      <c r="B397" s="47"/>
      <c r="C397" s="47"/>
    </row>
    <row r="398">
      <c r="B398" s="47"/>
      <c r="C398" s="47"/>
    </row>
    <row r="399">
      <c r="B399" s="47"/>
      <c r="C399" s="47"/>
    </row>
    <row r="400">
      <c r="B400" s="47"/>
      <c r="C400" s="47"/>
    </row>
    <row r="401">
      <c r="B401" s="47"/>
      <c r="C401" s="47"/>
    </row>
    <row r="402">
      <c r="B402" s="47"/>
      <c r="C402" s="47"/>
    </row>
    <row r="403">
      <c r="B403" s="47"/>
      <c r="C403" s="47"/>
    </row>
    <row r="404">
      <c r="B404" s="47"/>
      <c r="C404" s="47"/>
    </row>
    <row r="405">
      <c r="B405" s="47"/>
      <c r="C405" s="47"/>
    </row>
    <row r="406">
      <c r="B406" s="47"/>
      <c r="C406" s="47"/>
    </row>
    <row r="407">
      <c r="B407" s="47"/>
      <c r="C407" s="47"/>
    </row>
    <row r="408">
      <c r="B408" s="47"/>
      <c r="C408" s="47"/>
    </row>
    <row r="409">
      <c r="B409" s="47"/>
      <c r="C409" s="47"/>
    </row>
    <row r="410">
      <c r="B410" s="47"/>
      <c r="C410" s="47"/>
    </row>
    <row r="411">
      <c r="B411" s="47"/>
      <c r="C411" s="47"/>
    </row>
    <row r="412">
      <c r="B412" s="47"/>
      <c r="C412" s="47"/>
    </row>
    <row r="413">
      <c r="B413" s="47"/>
      <c r="C413" s="47"/>
    </row>
    <row r="414">
      <c r="B414" s="47"/>
      <c r="C414" s="47"/>
    </row>
    <row r="415">
      <c r="B415" s="47"/>
      <c r="C415" s="47"/>
    </row>
    <row r="416">
      <c r="B416" s="47"/>
      <c r="C416" s="47"/>
    </row>
    <row r="417">
      <c r="B417" s="47"/>
      <c r="C417" s="47"/>
    </row>
    <row r="418">
      <c r="B418" s="47"/>
      <c r="C418" s="47"/>
    </row>
    <row r="419">
      <c r="B419" s="47"/>
      <c r="C419" s="47"/>
    </row>
    <row r="420">
      <c r="B420" s="47"/>
      <c r="C420" s="47"/>
    </row>
    <row r="421">
      <c r="B421" s="47"/>
      <c r="C421" s="47"/>
    </row>
    <row r="422">
      <c r="B422" s="47"/>
      <c r="C422" s="47"/>
    </row>
    <row r="423">
      <c r="B423" s="47"/>
      <c r="C423" s="47"/>
    </row>
    <row r="424">
      <c r="B424" s="47"/>
      <c r="C424" s="47"/>
    </row>
    <row r="425">
      <c r="B425" s="47"/>
      <c r="C425" s="47"/>
    </row>
    <row r="426">
      <c r="B426" s="47"/>
      <c r="C426" s="47"/>
    </row>
    <row r="427">
      <c r="B427" s="47"/>
      <c r="C427" s="47"/>
    </row>
    <row r="428">
      <c r="B428" s="47"/>
      <c r="C428" s="47"/>
    </row>
    <row r="429">
      <c r="B429" s="47"/>
      <c r="C429" s="47"/>
    </row>
    <row r="430">
      <c r="B430" s="47"/>
      <c r="C430" s="47"/>
    </row>
    <row r="431">
      <c r="B431" s="47"/>
      <c r="C431" s="47"/>
    </row>
    <row r="432">
      <c r="B432" s="47"/>
      <c r="C432" s="47"/>
    </row>
    <row r="433">
      <c r="B433" s="47"/>
      <c r="C433" s="47"/>
    </row>
    <row r="434">
      <c r="B434" s="47"/>
      <c r="C434" s="47"/>
    </row>
    <row r="435">
      <c r="B435" s="47"/>
      <c r="C435" s="47"/>
    </row>
    <row r="436">
      <c r="B436" s="47"/>
      <c r="C436" s="47"/>
    </row>
    <row r="437">
      <c r="B437" s="47"/>
      <c r="C437" s="47"/>
    </row>
    <row r="438">
      <c r="B438" s="47"/>
      <c r="C438" s="47"/>
    </row>
    <row r="439">
      <c r="B439" s="47"/>
      <c r="C439" s="47"/>
    </row>
    <row r="440">
      <c r="B440" s="47"/>
      <c r="C440" s="47"/>
    </row>
    <row r="441">
      <c r="B441" s="47"/>
      <c r="C441" s="47"/>
    </row>
    <row r="442">
      <c r="B442" s="47"/>
      <c r="C442" s="47"/>
    </row>
    <row r="443">
      <c r="B443" s="47"/>
      <c r="C443" s="47"/>
    </row>
    <row r="444">
      <c r="B444" s="47"/>
      <c r="C444" s="47"/>
    </row>
    <row r="445">
      <c r="B445" s="47"/>
      <c r="C445" s="47"/>
    </row>
    <row r="446">
      <c r="B446" s="47"/>
      <c r="C446" s="47"/>
    </row>
    <row r="447">
      <c r="B447" s="47"/>
      <c r="C447" s="47"/>
    </row>
    <row r="448">
      <c r="B448" s="47"/>
      <c r="C448" s="47"/>
    </row>
    <row r="449">
      <c r="B449" s="47"/>
      <c r="C449" s="47"/>
    </row>
    <row r="450">
      <c r="B450" s="47"/>
      <c r="C450" s="47"/>
    </row>
    <row r="451">
      <c r="B451" s="47"/>
      <c r="C451" s="47"/>
    </row>
    <row r="452">
      <c r="B452" s="47"/>
      <c r="C452" s="47"/>
    </row>
    <row r="453">
      <c r="B453" s="47"/>
      <c r="C453" s="47"/>
    </row>
    <row r="454">
      <c r="B454" s="47"/>
      <c r="C454" s="47"/>
    </row>
    <row r="455">
      <c r="B455" s="47"/>
      <c r="C455" s="47"/>
    </row>
    <row r="456">
      <c r="B456" s="47"/>
      <c r="C456" s="47"/>
    </row>
    <row r="457">
      <c r="B457" s="47"/>
      <c r="C457" s="47"/>
    </row>
    <row r="458">
      <c r="B458" s="47"/>
      <c r="C458" s="47"/>
    </row>
    <row r="459">
      <c r="B459" s="47"/>
      <c r="C459" s="47"/>
    </row>
    <row r="460">
      <c r="B460" s="47"/>
      <c r="C460" s="47"/>
    </row>
    <row r="461">
      <c r="B461" s="47"/>
      <c r="C461" s="47"/>
    </row>
    <row r="462">
      <c r="B462" s="47"/>
      <c r="C462" s="47"/>
    </row>
    <row r="463">
      <c r="B463" s="47"/>
      <c r="C463" s="47"/>
    </row>
    <row r="464">
      <c r="B464" s="47"/>
      <c r="C464" s="47"/>
    </row>
    <row r="465">
      <c r="B465" s="47"/>
      <c r="C465" s="47"/>
    </row>
    <row r="466">
      <c r="B466" s="47"/>
      <c r="C466" s="47"/>
    </row>
    <row r="467">
      <c r="B467" s="47"/>
      <c r="C467" s="47"/>
    </row>
    <row r="468">
      <c r="B468" s="47"/>
      <c r="C468" s="47"/>
    </row>
    <row r="469">
      <c r="B469" s="47"/>
      <c r="C469" s="47"/>
    </row>
    <row r="470">
      <c r="B470" s="47"/>
      <c r="C470" s="47"/>
    </row>
    <row r="471">
      <c r="B471" s="47"/>
      <c r="C471" s="47"/>
    </row>
    <row r="472">
      <c r="B472" s="47"/>
      <c r="C472" s="47"/>
    </row>
    <row r="473">
      <c r="B473" s="47"/>
      <c r="C473" s="47"/>
    </row>
    <row r="474">
      <c r="B474" s="47"/>
      <c r="C474" s="47"/>
    </row>
    <row r="475">
      <c r="B475" s="47"/>
      <c r="C475" s="47"/>
    </row>
    <row r="476">
      <c r="B476" s="47"/>
      <c r="C476" s="47"/>
    </row>
    <row r="477">
      <c r="B477" s="47"/>
      <c r="C477" s="47"/>
    </row>
    <row r="478">
      <c r="B478" s="47"/>
      <c r="C478" s="47"/>
    </row>
    <row r="479">
      <c r="B479" s="47"/>
      <c r="C479" s="47"/>
    </row>
    <row r="480">
      <c r="B480" s="47"/>
      <c r="C480" s="47"/>
    </row>
    <row r="481">
      <c r="B481" s="47"/>
      <c r="C481" s="47"/>
    </row>
    <row r="482">
      <c r="B482" s="47"/>
      <c r="C482" s="47"/>
    </row>
    <row r="483">
      <c r="B483" s="47"/>
      <c r="C483" s="47"/>
    </row>
    <row r="484">
      <c r="B484" s="47"/>
      <c r="C484" s="47"/>
    </row>
    <row r="485">
      <c r="B485" s="47"/>
      <c r="C485" s="47"/>
    </row>
    <row r="486">
      <c r="B486" s="47"/>
      <c r="C486" s="47"/>
    </row>
    <row r="487">
      <c r="B487" s="47"/>
      <c r="C487" s="47"/>
    </row>
    <row r="488">
      <c r="B488" s="47"/>
      <c r="C488" s="47"/>
    </row>
    <row r="489">
      <c r="B489" s="47"/>
      <c r="C489" s="47"/>
    </row>
    <row r="490">
      <c r="B490" s="47"/>
      <c r="C490" s="47"/>
    </row>
    <row r="491">
      <c r="B491" s="47"/>
      <c r="C491" s="47"/>
    </row>
    <row r="492">
      <c r="B492" s="47"/>
      <c r="C492" s="47"/>
    </row>
    <row r="493">
      <c r="B493" s="47"/>
      <c r="C493" s="47"/>
    </row>
    <row r="494">
      <c r="B494" s="47"/>
      <c r="C494" s="47"/>
    </row>
    <row r="495">
      <c r="B495" s="47"/>
      <c r="C495" s="47"/>
    </row>
    <row r="496">
      <c r="B496" s="47"/>
      <c r="C496" s="47"/>
    </row>
    <row r="497">
      <c r="B497" s="47"/>
      <c r="C497" s="47"/>
    </row>
    <row r="498">
      <c r="B498" s="47"/>
      <c r="C498" s="47"/>
    </row>
    <row r="499">
      <c r="B499" s="47"/>
      <c r="C499" s="47"/>
    </row>
    <row r="500">
      <c r="B500" s="47"/>
      <c r="C500" s="47"/>
    </row>
    <row r="501">
      <c r="B501" s="47"/>
      <c r="C501" s="47"/>
    </row>
    <row r="502">
      <c r="B502" s="47"/>
      <c r="C502" s="47"/>
    </row>
    <row r="503">
      <c r="B503" s="47"/>
      <c r="C503" s="47"/>
    </row>
    <row r="504">
      <c r="B504" s="47"/>
      <c r="C504" s="47"/>
    </row>
    <row r="505">
      <c r="B505" s="47"/>
      <c r="C505" s="47"/>
    </row>
    <row r="506">
      <c r="B506" s="47"/>
      <c r="C506" s="47"/>
    </row>
    <row r="507">
      <c r="B507" s="47"/>
      <c r="C507" s="47"/>
    </row>
    <row r="508">
      <c r="B508" s="47"/>
      <c r="C508" s="47"/>
    </row>
    <row r="509">
      <c r="B509" s="47"/>
      <c r="C509" s="47"/>
    </row>
    <row r="510">
      <c r="B510" s="47"/>
      <c r="C510" s="47"/>
    </row>
    <row r="511">
      <c r="B511" s="47"/>
      <c r="C511" s="47"/>
    </row>
    <row r="512">
      <c r="B512" s="47"/>
      <c r="C512" s="47"/>
    </row>
    <row r="513">
      <c r="B513" s="47"/>
      <c r="C513" s="47"/>
    </row>
    <row r="514">
      <c r="B514" s="47"/>
      <c r="C514" s="47"/>
    </row>
    <row r="515">
      <c r="B515" s="47"/>
      <c r="C515" s="47"/>
    </row>
    <row r="516">
      <c r="B516" s="47"/>
      <c r="C516" s="47"/>
    </row>
    <row r="517">
      <c r="B517" s="47"/>
      <c r="C517" s="47"/>
    </row>
    <row r="518">
      <c r="B518" s="47"/>
      <c r="C518" s="47"/>
    </row>
    <row r="519">
      <c r="B519" s="47"/>
      <c r="C519" s="47"/>
    </row>
    <row r="520">
      <c r="B520" s="47"/>
      <c r="C520" s="47"/>
    </row>
    <row r="521">
      <c r="B521" s="47"/>
      <c r="C521" s="47"/>
    </row>
    <row r="522">
      <c r="B522" s="47"/>
      <c r="C522" s="47"/>
    </row>
    <row r="523">
      <c r="B523" s="47"/>
      <c r="C523" s="47"/>
    </row>
    <row r="524">
      <c r="B524" s="47"/>
      <c r="C524" s="47"/>
    </row>
    <row r="525">
      <c r="B525" s="47"/>
      <c r="C525" s="47"/>
    </row>
    <row r="526">
      <c r="B526" s="47"/>
      <c r="C526" s="47"/>
    </row>
    <row r="527">
      <c r="B527" s="47"/>
      <c r="C527" s="47"/>
    </row>
    <row r="528">
      <c r="B528" s="47"/>
      <c r="C528" s="47"/>
    </row>
    <row r="529">
      <c r="B529" s="47"/>
      <c r="C529" s="47"/>
    </row>
    <row r="530">
      <c r="B530" s="47"/>
      <c r="C530" s="47"/>
    </row>
    <row r="531">
      <c r="B531" s="47"/>
      <c r="C531" s="47"/>
    </row>
    <row r="532">
      <c r="B532" s="47"/>
      <c r="C532" s="47"/>
    </row>
    <row r="533">
      <c r="B533" s="47"/>
      <c r="C533" s="47"/>
    </row>
    <row r="534">
      <c r="B534" s="47"/>
      <c r="C534" s="47"/>
    </row>
    <row r="535">
      <c r="B535" s="47"/>
      <c r="C535" s="47"/>
    </row>
    <row r="536">
      <c r="B536" s="47"/>
      <c r="C536" s="47"/>
    </row>
    <row r="537">
      <c r="B537" s="47"/>
      <c r="C537" s="47"/>
    </row>
    <row r="538">
      <c r="B538" s="47"/>
      <c r="C538" s="47"/>
    </row>
    <row r="539">
      <c r="B539" s="47"/>
      <c r="C539" s="47"/>
    </row>
    <row r="540">
      <c r="B540" s="47"/>
      <c r="C540" s="47"/>
    </row>
    <row r="541">
      <c r="B541" s="47"/>
      <c r="C541" s="47"/>
    </row>
    <row r="542">
      <c r="B542" s="47"/>
      <c r="C542" s="47"/>
    </row>
    <row r="543">
      <c r="B543" s="47"/>
      <c r="C543" s="47"/>
    </row>
    <row r="544">
      <c r="B544" s="47"/>
      <c r="C544" s="47"/>
    </row>
    <row r="545">
      <c r="B545" s="47"/>
      <c r="C545" s="47"/>
    </row>
    <row r="546">
      <c r="B546" s="47"/>
      <c r="C546" s="47"/>
    </row>
    <row r="547">
      <c r="B547" s="47"/>
      <c r="C547" s="47"/>
    </row>
    <row r="548">
      <c r="B548" s="47"/>
      <c r="C548" s="47"/>
    </row>
    <row r="549">
      <c r="B549" s="47"/>
      <c r="C549" s="47"/>
    </row>
    <row r="550">
      <c r="B550" s="47"/>
      <c r="C550" s="47"/>
    </row>
    <row r="551">
      <c r="B551" s="47"/>
      <c r="C551" s="47"/>
    </row>
    <row r="552">
      <c r="B552" s="47"/>
      <c r="C552" s="47"/>
    </row>
    <row r="553">
      <c r="B553" s="47"/>
      <c r="C553" s="47"/>
    </row>
    <row r="554">
      <c r="B554" s="47"/>
      <c r="C554" s="47"/>
    </row>
    <row r="555">
      <c r="B555" s="47"/>
      <c r="C555" s="47"/>
    </row>
    <row r="556">
      <c r="B556" s="47"/>
      <c r="C556" s="47"/>
    </row>
    <row r="557">
      <c r="B557" s="47"/>
      <c r="C557" s="47"/>
    </row>
    <row r="558">
      <c r="B558" s="47"/>
      <c r="C558" s="47"/>
    </row>
    <row r="559">
      <c r="B559" s="47"/>
      <c r="C559" s="47"/>
    </row>
    <row r="560">
      <c r="B560" s="47"/>
      <c r="C560" s="47"/>
    </row>
    <row r="561">
      <c r="B561" s="47"/>
      <c r="C561" s="47"/>
    </row>
    <row r="562">
      <c r="B562" s="47"/>
      <c r="C562" s="47"/>
    </row>
    <row r="563">
      <c r="B563" s="47"/>
      <c r="C563" s="47"/>
    </row>
    <row r="564">
      <c r="B564" s="47"/>
      <c r="C564" s="47"/>
    </row>
    <row r="565">
      <c r="B565" s="47"/>
      <c r="C565" s="47"/>
    </row>
    <row r="566">
      <c r="B566" s="47"/>
      <c r="C566" s="47"/>
    </row>
    <row r="567">
      <c r="B567" s="47"/>
      <c r="C567" s="47"/>
    </row>
    <row r="568">
      <c r="B568" s="47"/>
      <c r="C568" s="47"/>
    </row>
    <row r="569">
      <c r="B569" s="47"/>
      <c r="C569" s="47"/>
    </row>
    <row r="570">
      <c r="B570" s="47"/>
      <c r="C570" s="47"/>
    </row>
    <row r="571">
      <c r="B571" s="47"/>
      <c r="C571" s="47"/>
    </row>
    <row r="572">
      <c r="B572" s="47"/>
      <c r="C572" s="47"/>
    </row>
    <row r="573">
      <c r="B573" s="47"/>
      <c r="C573" s="47"/>
    </row>
    <row r="574">
      <c r="B574" s="47"/>
      <c r="C574" s="47"/>
    </row>
    <row r="575">
      <c r="B575" s="47"/>
      <c r="C575" s="47"/>
    </row>
    <row r="576">
      <c r="B576" s="47"/>
      <c r="C576" s="47"/>
    </row>
    <row r="577">
      <c r="B577" s="47"/>
      <c r="C577" s="47"/>
    </row>
    <row r="578">
      <c r="B578" s="47"/>
      <c r="C578" s="47"/>
    </row>
    <row r="579">
      <c r="B579" s="47"/>
      <c r="C579" s="47"/>
    </row>
    <row r="580">
      <c r="B580" s="47"/>
      <c r="C580" s="47"/>
    </row>
    <row r="581">
      <c r="B581" s="47"/>
      <c r="C581" s="47"/>
    </row>
    <row r="582">
      <c r="B582" s="47"/>
      <c r="C582" s="47"/>
    </row>
    <row r="583">
      <c r="B583" s="47"/>
      <c r="C583" s="47"/>
    </row>
    <row r="584">
      <c r="B584" s="47"/>
      <c r="C584" s="47"/>
    </row>
    <row r="585">
      <c r="B585" s="47"/>
      <c r="C585" s="47"/>
    </row>
    <row r="586">
      <c r="B586" s="47"/>
      <c r="C586" s="47"/>
    </row>
    <row r="587">
      <c r="B587" s="47"/>
      <c r="C587" s="47"/>
    </row>
    <row r="588">
      <c r="B588" s="47"/>
      <c r="C588" s="47"/>
    </row>
    <row r="589">
      <c r="B589" s="47"/>
      <c r="C589" s="47"/>
    </row>
    <row r="590">
      <c r="B590" s="47"/>
      <c r="C590" s="47"/>
    </row>
    <row r="591">
      <c r="B591" s="47"/>
      <c r="C591" s="47"/>
    </row>
    <row r="592">
      <c r="B592" s="47"/>
      <c r="C592" s="47"/>
    </row>
    <row r="593">
      <c r="B593" s="47"/>
      <c r="C593" s="47"/>
    </row>
    <row r="594">
      <c r="B594" s="47"/>
      <c r="C594" s="47"/>
    </row>
    <row r="595">
      <c r="B595" s="47"/>
      <c r="C595" s="47"/>
    </row>
    <row r="596">
      <c r="B596" s="47"/>
      <c r="C596" s="47"/>
    </row>
    <row r="597">
      <c r="B597" s="47"/>
      <c r="C597" s="47"/>
    </row>
    <row r="598">
      <c r="B598" s="47"/>
      <c r="C598" s="47"/>
    </row>
    <row r="599">
      <c r="B599" s="47"/>
      <c r="C599" s="47"/>
    </row>
    <row r="600">
      <c r="B600" s="47"/>
      <c r="C600" s="47"/>
    </row>
    <row r="601">
      <c r="B601" s="47"/>
      <c r="C601" s="47"/>
    </row>
    <row r="602">
      <c r="B602" s="47"/>
      <c r="C602" s="47"/>
    </row>
    <row r="603">
      <c r="B603" s="47"/>
      <c r="C603" s="47"/>
    </row>
    <row r="604">
      <c r="B604" s="47"/>
      <c r="C604" s="47"/>
    </row>
    <row r="605">
      <c r="B605" s="47"/>
      <c r="C605" s="47"/>
    </row>
    <row r="606">
      <c r="B606" s="47"/>
      <c r="C606" s="47"/>
    </row>
    <row r="607">
      <c r="B607" s="47"/>
      <c r="C607" s="47"/>
    </row>
    <row r="608">
      <c r="B608" s="47"/>
      <c r="C608" s="47"/>
    </row>
    <row r="609">
      <c r="B609" s="47"/>
      <c r="C609" s="47"/>
    </row>
    <row r="610">
      <c r="B610" s="47"/>
      <c r="C610" s="47"/>
    </row>
    <row r="611">
      <c r="B611" s="47"/>
      <c r="C611" s="47"/>
    </row>
    <row r="612">
      <c r="B612" s="47"/>
      <c r="C612" s="47"/>
    </row>
    <row r="613">
      <c r="B613" s="47"/>
      <c r="C613" s="47"/>
    </row>
    <row r="614">
      <c r="B614" s="47"/>
      <c r="C614" s="47"/>
    </row>
    <row r="615">
      <c r="B615" s="47"/>
      <c r="C615" s="47"/>
    </row>
    <row r="616">
      <c r="B616" s="47"/>
      <c r="C616" s="47"/>
    </row>
    <row r="617">
      <c r="B617" s="47"/>
      <c r="C617" s="47"/>
    </row>
    <row r="618">
      <c r="B618" s="47"/>
      <c r="C618" s="47"/>
    </row>
    <row r="619">
      <c r="B619" s="47"/>
      <c r="C619" s="47"/>
    </row>
    <row r="620">
      <c r="B620" s="47"/>
      <c r="C620" s="47"/>
    </row>
    <row r="621">
      <c r="B621" s="47"/>
      <c r="C621" s="47"/>
    </row>
    <row r="622">
      <c r="B622" s="47"/>
      <c r="C622" s="47"/>
    </row>
    <row r="623">
      <c r="B623" s="47"/>
      <c r="C623" s="47"/>
    </row>
    <row r="624">
      <c r="B624" s="47"/>
      <c r="C624" s="47"/>
    </row>
    <row r="625">
      <c r="B625" s="47"/>
      <c r="C625" s="47"/>
    </row>
    <row r="626">
      <c r="B626" s="47"/>
      <c r="C626" s="47"/>
    </row>
    <row r="627">
      <c r="B627" s="47"/>
      <c r="C627" s="47"/>
    </row>
    <row r="628">
      <c r="B628" s="47"/>
      <c r="C628" s="47"/>
    </row>
    <row r="629">
      <c r="B629" s="47"/>
      <c r="C629" s="47"/>
    </row>
    <row r="630">
      <c r="B630" s="47"/>
      <c r="C630" s="47"/>
    </row>
    <row r="631">
      <c r="B631" s="47"/>
      <c r="C631" s="47"/>
    </row>
    <row r="632">
      <c r="B632" s="47"/>
      <c r="C632" s="47"/>
    </row>
    <row r="633">
      <c r="B633" s="47"/>
      <c r="C633" s="47"/>
    </row>
    <row r="634">
      <c r="B634" s="47"/>
      <c r="C634" s="47"/>
    </row>
    <row r="635">
      <c r="B635" s="47"/>
      <c r="C635" s="47"/>
    </row>
    <row r="636">
      <c r="B636" s="47"/>
      <c r="C636" s="47"/>
    </row>
    <row r="637">
      <c r="B637" s="47"/>
      <c r="C637" s="47"/>
    </row>
    <row r="638">
      <c r="B638" s="47"/>
      <c r="C638" s="47"/>
    </row>
    <row r="639">
      <c r="B639" s="47"/>
      <c r="C639" s="47"/>
    </row>
    <row r="640">
      <c r="B640" s="47"/>
      <c r="C640" s="47"/>
    </row>
    <row r="641">
      <c r="B641" s="47"/>
      <c r="C641" s="47"/>
    </row>
    <row r="642">
      <c r="B642" s="47"/>
      <c r="C642" s="47"/>
    </row>
    <row r="643">
      <c r="B643" s="47"/>
      <c r="C643" s="47"/>
    </row>
    <row r="644">
      <c r="B644" s="47"/>
      <c r="C644" s="47"/>
    </row>
    <row r="645">
      <c r="B645" s="47"/>
      <c r="C645" s="47"/>
    </row>
    <row r="646">
      <c r="B646" s="47"/>
      <c r="C646" s="47"/>
    </row>
    <row r="647">
      <c r="B647" s="47"/>
      <c r="C647" s="47"/>
    </row>
    <row r="648">
      <c r="B648" s="47"/>
      <c r="C648" s="47"/>
    </row>
    <row r="649">
      <c r="B649" s="47"/>
      <c r="C649" s="47"/>
    </row>
    <row r="650">
      <c r="B650" s="47"/>
      <c r="C650" s="47"/>
    </row>
    <row r="651">
      <c r="B651" s="47"/>
      <c r="C651" s="47"/>
    </row>
    <row r="652">
      <c r="B652" s="47"/>
      <c r="C652" s="47"/>
    </row>
    <row r="653">
      <c r="B653" s="47"/>
      <c r="C653" s="47"/>
    </row>
    <row r="654">
      <c r="B654" s="47"/>
      <c r="C654" s="47"/>
    </row>
    <row r="655">
      <c r="B655" s="47"/>
      <c r="C655" s="47"/>
    </row>
    <row r="656">
      <c r="B656" s="47"/>
      <c r="C656" s="47"/>
    </row>
    <row r="657">
      <c r="B657" s="47"/>
      <c r="C657" s="47"/>
    </row>
    <row r="658">
      <c r="B658" s="47"/>
      <c r="C658" s="47"/>
    </row>
    <row r="659">
      <c r="B659" s="47"/>
      <c r="C659" s="47"/>
    </row>
    <row r="660">
      <c r="B660" s="47"/>
      <c r="C660" s="47"/>
    </row>
    <row r="661">
      <c r="B661" s="47"/>
      <c r="C661" s="47"/>
    </row>
    <row r="662">
      <c r="B662" s="47"/>
      <c r="C662" s="47"/>
    </row>
    <row r="663">
      <c r="B663" s="47"/>
      <c r="C663" s="47"/>
    </row>
    <row r="664">
      <c r="B664" s="47"/>
      <c r="C664" s="47"/>
    </row>
    <row r="665">
      <c r="B665" s="47"/>
      <c r="C665" s="47"/>
    </row>
    <row r="666">
      <c r="B666" s="47"/>
      <c r="C666" s="47"/>
    </row>
    <row r="667">
      <c r="B667" s="47"/>
      <c r="C667" s="47"/>
    </row>
    <row r="668">
      <c r="B668" s="47"/>
      <c r="C668" s="47"/>
    </row>
    <row r="669">
      <c r="B669" s="47"/>
      <c r="C669" s="47"/>
    </row>
    <row r="670">
      <c r="B670" s="47"/>
      <c r="C670" s="47"/>
    </row>
    <row r="671">
      <c r="B671" s="47"/>
      <c r="C671" s="47"/>
    </row>
    <row r="672">
      <c r="B672" s="47"/>
      <c r="C672" s="47"/>
    </row>
    <row r="673">
      <c r="B673" s="47"/>
      <c r="C673" s="47"/>
    </row>
    <row r="674">
      <c r="B674" s="47"/>
      <c r="C674" s="47"/>
    </row>
    <row r="675">
      <c r="B675" s="47"/>
      <c r="C675" s="47"/>
    </row>
    <row r="676">
      <c r="B676" s="47"/>
      <c r="C676" s="47"/>
    </row>
    <row r="677">
      <c r="B677" s="47"/>
      <c r="C677" s="47"/>
    </row>
    <row r="678">
      <c r="B678" s="47"/>
      <c r="C678" s="47"/>
    </row>
    <row r="679">
      <c r="B679" s="47"/>
      <c r="C679" s="47"/>
    </row>
    <row r="680">
      <c r="B680" s="47"/>
      <c r="C680" s="47"/>
    </row>
    <row r="681">
      <c r="B681" s="47"/>
      <c r="C681" s="47"/>
    </row>
    <row r="682">
      <c r="B682" s="47"/>
      <c r="C682" s="47"/>
    </row>
    <row r="683">
      <c r="B683" s="47"/>
      <c r="C683" s="47"/>
    </row>
    <row r="684">
      <c r="B684" s="47"/>
      <c r="C684" s="47"/>
    </row>
    <row r="685">
      <c r="B685" s="47"/>
      <c r="C685" s="47"/>
    </row>
    <row r="686">
      <c r="B686" s="47"/>
      <c r="C686" s="47"/>
    </row>
    <row r="687">
      <c r="B687" s="47"/>
      <c r="C687" s="47"/>
    </row>
    <row r="688">
      <c r="B688" s="47"/>
      <c r="C688" s="47"/>
    </row>
    <row r="689">
      <c r="B689" s="47"/>
      <c r="C689" s="47"/>
    </row>
    <row r="690">
      <c r="B690" s="47"/>
      <c r="C690" s="47"/>
    </row>
    <row r="691">
      <c r="B691" s="47"/>
      <c r="C691" s="47"/>
    </row>
    <row r="692">
      <c r="B692" s="47"/>
      <c r="C692" s="47"/>
    </row>
    <row r="693">
      <c r="B693" s="47"/>
      <c r="C693" s="47"/>
    </row>
    <row r="694">
      <c r="B694" s="47"/>
      <c r="C694" s="47"/>
    </row>
    <row r="695">
      <c r="B695" s="47"/>
      <c r="C695" s="47"/>
    </row>
    <row r="696">
      <c r="B696" s="47"/>
      <c r="C696" s="47"/>
    </row>
    <row r="697">
      <c r="B697" s="47"/>
      <c r="C697" s="47"/>
    </row>
    <row r="698">
      <c r="B698" s="47"/>
      <c r="C698" s="47"/>
    </row>
    <row r="699">
      <c r="B699" s="47"/>
      <c r="C699" s="47"/>
    </row>
    <row r="700">
      <c r="B700" s="47"/>
      <c r="C700" s="47"/>
    </row>
    <row r="701">
      <c r="B701" s="47"/>
      <c r="C701" s="47"/>
    </row>
    <row r="702">
      <c r="B702" s="47"/>
      <c r="C702" s="47"/>
    </row>
    <row r="703">
      <c r="B703" s="47"/>
      <c r="C703" s="47"/>
    </row>
    <row r="704">
      <c r="B704" s="47"/>
      <c r="C704" s="47"/>
    </row>
    <row r="705">
      <c r="B705" s="47"/>
      <c r="C705" s="47"/>
    </row>
    <row r="706">
      <c r="B706" s="47"/>
      <c r="C706" s="47"/>
    </row>
    <row r="707">
      <c r="B707" s="47"/>
      <c r="C707" s="47"/>
    </row>
    <row r="708">
      <c r="B708" s="47"/>
      <c r="C708" s="47"/>
    </row>
    <row r="709">
      <c r="B709" s="47"/>
      <c r="C709" s="47"/>
    </row>
    <row r="710">
      <c r="B710" s="47"/>
      <c r="C710" s="47"/>
    </row>
    <row r="711">
      <c r="B711" s="47"/>
      <c r="C711" s="47"/>
    </row>
    <row r="712">
      <c r="B712" s="47"/>
      <c r="C712" s="47"/>
    </row>
    <row r="713">
      <c r="B713" s="47"/>
      <c r="C713" s="47"/>
    </row>
    <row r="714">
      <c r="B714" s="47"/>
      <c r="C714" s="47"/>
    </row>
    <row r="715">
      <c r="B715" s="47"/>
      <c r="C715" s="47"/>
    </row>
    <row r="716">
      <c r="B716" s="47"/>
      <c r="C716" s="47"/>
    </row>
    <row r="717">
      <c r="B717" s="47"/>
      <c r="C717" s="47"/>
    </row>
    <row r="718">
      <c r="B718" s="47"/>
      <c r="C718" s="47"/>
    </row>
    <row r="719">
      <c r="B719" s="47"/>
      <c r="C719" s="47"/>
    </row>
    <row r="720">
      <c r="B720" s="47"/>
      <c r="C720" s="47"/>
    </row>
    <row r="721">
      <c r="B721" s="47"/>
      <c r="C721" s="47"/>
    </row>
    <row r="722">
      <c r="B722" s="47"/>
      <c r="C722" s="47"/>
    </row>
    <row r="723">
      <c r="B723" s="47"/>
      <c r="C723" s="47"/>
    </row>
    <row r="724">
      <c r="B724" s="47"/>
      <c r="C724" s="47"/>
    </row>
    <row r="725">
      <c r="B725" s="47"/>
      <c r="C725" s="47"/>
    </row>
    <row r="726">
      <c r="B726" s="47"/>
      <c r="C726" s="47"/>
    </row>
    <row r="727">
      <c r="B727" s="47"/>
      <c r="C727" s="47"/>
    </row>
    <row r="728">
      <c r="B728" s="47"/>
      <c r="C728" s="47"/>
    </row>
    <row r="729">
      <c r="B729" s="47"/>
      <c r="C729" s="47"/>
    </row>
    <row r="730">
      <c r="B730" s="47"/>
      <c r="C730" s="47"/>
    </row>
    <row r="731">
      <c r="B731" s="47"/>
      <c r="C731" s="47"/>
    </row>
    <row r="732">
      <c r="B732" s="47"/>
      <c r="C732" s="47"/>
    </row>
    <row r="733">
      <c r="B733" s="47"/>
      <c r="C733" s="47"/>
    </row>
    <row r="734">
      <c r="B734" s="47"/>
      <c r="C734" s="47"/>
    </row>
    <row r="735">
      <c r="B735" s="47"/>
      <c r="C735" s="47"/>
    </row>
    <row r="736">
      <c r="B736" s="47"/>
      <c r="C736" s="47"/>
    </row>
    <row r="737">
      <c r="B737" s="47"/>
      <c r="C737" s="47"/>
    </row>
    <row r="738">
      <c r="B738" s="47"/>
      <c r="C738" s="47"/>
    </row>
    <row r="739">
      <c r="B739" s="47"/>
      <c r="C739" s="47"/>
    </row>
    <row r="740">
      <c r="B740" s="47"/>
      <c r="C740" s="47"/>
    </row>
    <row r="741">
      <c r="B741" s="47"/>
      <c r="C741" s="47"/>
    </row>
    <row r="742">
      <c r="B742" s="47"/>
      <c r="C742" s="47"/>
    </row>
    <row r="743">
      <c r="B743" s="47"/>
      <c r="C743" s="47"/>
    </row>
    <row r="744">
      <c r="B744" s="47"/>
      <c r="C744" s="47"/>
    </row>
    <row r="745">
      <c r="B745" s="47"/>
      <c r="C745" s="47"/>
    </row>
    <row r="746">
      <c r="B746" s="47"/>
      <c r="C746" s="47"/>
    </row>
    <row r="747">
      <c r="B747" s="47"/>
      <c r="C747" s="47"/>
    </row>
    <row r="748">
      <c r="B748" s="47"/>
      <c r="C748" s="47"/>
    </row>
    <row r="749">
      <c r="B749" s="47"/>
      <c r="C749" s="47"/>
    </row>
    <row r="750">
      <c r="B750" s="47"/>
      <c r="C750" s="47"/>
    </row>
    <row r="751">
      <c r="B751" s="47"/>
      <c r="C751" s="47"/>
    </row>
    <row r="752">
      <c r="B752" s="47"/>
      <c r="C752" s="47"/>
    </row>
    <row r="753">
      <c r="B753" s="47"/>
      <c r="C753" s="47"/>
    </row>
    <row r="754">
      <c r="B754" s="47"/>
      <c r="C754" s="47"/>
    </row>
    <row r="755">
      <c r="B755" s="47"/>
      <c r="C755" s="47"/>
    </row>
    <row r="756">
      <c r="B756" s="47"/>
      <c r="C756" s="47"/>
    </row>
    <row r="757">
      <c r="B757" s="47"/>
      <c r="C757" s="47"/>
    </row>
    <row r="758">
      <c r="B758" s="47"/>
      <c r="C758" s="47"/>
    </row>
    <row r="759">
      <c r="B759" s="47"/>
      <c r="C759" s="47"/>
    </row>
    <row r="760">
      <c r="B760" s="47"/>
      <c r="C760" s="47"/>
    </row>
    <row r="761">
      <c r="B761" s="47"/>
      <c r="C761" s="47"/>
    </row>
    <row r="762">
      <c r="B762" s="47"/>
      <c r="C762" s="47"/>
    </row>
    <row r="763">
      <c r="B763" s="47"/>
      <c r="C763" s="47"/>
    </row>
    <row r="764">
      <c r="B764" s="47"/>
      <c r="C764" s="47"/>
    </row>
    <row r="765">
      <c r="B765" s="47"/>
      <c r="C765" s="47"/>
    </row>
    <row r="766">
      <c r="B766" s="47"/>
      <c r="C766" s="47"/>
    </row>
    <row r="767">
      <c r="B767" s="47"/>
      <c r="C767" s="47"/>
    </row>
    <row r="768">
      <c r="B768" s="47"/>
      <c r="C768" s="47"/>
    </row>
    <row r="769">
      <c r="B769" s="47"/>
      <c r="C769" s="47"/>
    </row>
    <row r="770">
      <c r="B770" s="47"/>
      <c r="C770" s="47"/>
    </row>
    <row r="771">
      <c r="B771" s="47"/>
      <c r="C771" s="47"/>
    </row>
    <row r="772">
      <c r="B772" s="47"/>
      <c r="C772" s="47"/>
    </row>
    <row r="773">
      <c r="B773" s="47"/>
      <c r="C773" s="47"/>
    </row>
    <row r="774">
      <c r="B774" s="47"/>
      <c r="C774" s="47"/>
    </row>
    <row r="775">
      <c r="B775" s="47"/>
      <c r="C775" s="47"/>
    </row>
    <row r="776">
      <c r="B776" s="47"/>
      <c r="C776" s="47"/>
    </row>
    <row r="777">
      <c r="B777" s="47"/>
      <c r="C777" s="47"/>
    </row>
    <row r="778">
      <c r="B778" s="47"/>
      <c r="C778" s="47"/>
    </row>
    <row r="779">
      <c r="B779" s="47"/>
      <c r="C779" s="47"/>
    </row>
    <row r="780">
      <c r="B780" s="47"/>
      <c r="C780" s="47"/>
    </row>
    <row r="781">
      <c r="B781" s="47"/>
      <c r="C781" s="47"/>
    </row>
    <row r="782">
      <c r="B782" s="47"/>
      <c r="C782" s="47"/>
    </row>
    <row r="783">
      <c r="B783" s="47"/>
      <c r="C783" s="47"/>
    </row>
    <row r="784">
      <c r="B784" s="47"/>
      <c r="C784" s="47"/>
    </row>
    <row r="785">
      <c r="B785" s="47"/>
      <c r="C785" s="47"/>
    </row>
    <row r="786">
      <c r="B786" s="47"/>
      <c r="C786" s="47"/>
    </row>
    <row r="787">
      <c r="B787" s="47"/>
      <c r="C787" s="47"/>
    </row>
    <row r="788">
      <c r="B788" s="47"/>
      <c r="C788" s="47"/>
    </row>
    <row r="789">
      <c r="B789" s="47"/>
      <c r="C789" s="47"/>
    </row>
    <row r="790">
      <c r="B790" s="47"/>
      <c r="C790" s="47"/>
    </row>
    <row r="791">
      <c r="B791" s="47"/>
      <c r="C791" s="47"/>
    </row>
    <row r="792">
      <c r="B792" s="47"/>
      <c r="C792" s="47"/>
    </row>
    <row r="793">
      <c r="B793" s="47"/>
      <c r="C793" s="47"/>
    </row>
    <row r="794">
      <c r="B794" s="47"/>
      <c r="C794" s="47"/>
    </row>
    <row r="795">
      <c r="B795" s="47"/>
      <c r="C795" s="47"/>
    </row>
    <row r="796">
      <c r="B796" s="47"/>
      <c r="C796" s="47"/>
    </row>
    <row r="797">
      <c r="B797" s="47"/>
      <c r="C797" s="47"/>
    </row>
    <row r="798">
      <c r="B798" s="47"/>
      <c r="C798" s="47"/>
    </row>
    <row r="799">
      <c r="B799" s="47"/>
      <c r="C799" s="47"/>
    </row>
    <row r="800">
      <c r="B800" s="47"/>
      <c r="C800" s="47"/>
    </row>
    <row r="801">
      <c r="B801" s="47"/>
      <c r="C801" s="47"/>
    </row>
    <row r="802">
      <c r="B802" s="47"/>
      <c r="C802" s="47"/>
    </row>
    <row r="803">
      <c r="B803" s="47"/>
      <c r="C803" s="47"/>
    </row>
    <row r="804">
      <c r="B804" s="47"/>
      <c r="C804" s="47"/>
    </row>
    <row r="805">
      <c r="B805" s="47"/>
      <c r="C805" s="47"/>
    </row>
    <row r="806">
      <c r="B806" s="47"/>
      <c r="C806" s="47"/>
    </row>
    <row r="807">
      <c r="B807" s="47"/>
      <c r="C807" s="47"/>
    </row>
    <row r="808">
      <c r="B808" s="47"/>
      <c r="C808" s="47"/>
    </row>
    <row r="809">
      <c r="B809" s="47"/>
      <c r="C809" s="47"/>
    </row>
    <row r="810">
      <c r="B810" s="47"/>
      <c r="C810" s="47"/>
    </row>
    <row r="811">
      <c r="B811" s="47"/>
      <c r="C811" s="47"/>
    </row>
    <row r="812">
      <c r="B812" s="47"/>
      <c r="C812" s="47"/>
    </row>
    <row r="813">
      <c r="B813" s="47"/>
      <c r="C813" s="47"/>
    </row>
    <row r="814">
      <c r="B814" s="47"/>
      <c r="C814" s="47"/>
    </row>
    <row r="815">
      <c r="B815" s="47"/>
      <c r="C815" s="47"/>
    </row>
    <row r="816">
      <c r="B816" s="47"/>
      <c r="C816" s="47"/>
    </row>
    <row r="817">
      <c r="B817" s="47"/>
      <c r="C817" s="47"/>
    </row>
    <row r="818">
      <c r="B818" s="47"/>
      <c r="C818" s="47"/>
    </row>
    <row r="819">
      <c r="B819" s="47"/>
      <c r="C819" s="47"/>
    </row>
    <row r="820">
      <c r="B820" s="47"/>
      <c r="C820" s="47"/>
    </row>
    <row r="821">
      <c r="B821" s="47"/>
      <c r="C821" s="47"/>
    </row>
    <row r="822">
      <c r="B822" s="47"/>
      <c r="C822" s="47"/>
    </row>
    <row r="823">
      <c r="B823" s="47"/>
      <c r="C823" s="47"/>
    </row>
    <row r="824">
      <c r="B824" s="47"/>
      <c r="C824" s="47"/>
    </row>
    <row r="825">
      <c r="B825" s="47"/>
      <c r="C825" s="47"/>
    </row>
    <row r="826">
      <c r="B826" s="47"/>
      <c r="C826" s="47"/>
    </row>
    <row r="827">
      <c r="B827" s="47"/>
      <c r="C827" s="47"/>
    </row>
    <row r="828">
      <c r="B828" s="47"/>
      <c r="C828" s="47"/>
    </row>
    <row r="829">
      <c r="B829" s="47"/>
      <c r="C829" s="47"/>
    </row>
    <row r="830">
      <c r="B830" s="47"/>
      <c r="C830" s="47"/>
    </row>
    <row r="831">
      <c r="B831" s="47"/>
      <c r="C831" s="47"/>
    </row>
    <row r="832">
      <c r="B832" s="47"/>
      <c r="C832" s="47"/>
    </row>
    <row r="833">
      <c r="B833" s="47"/>
      <c r="C833" s="47"/>
    </row>
    <row r="834">
      <c r="B834" s="47"/>
      <c r="C834" s="47"/>
    </row>
    <row r="835">
      <c r="B835" s="47"/>
      <c r="C835" s="47"/>
    </row>
    <row r="836">
      <c r="B836" s="47"/>
      <c r="C836" s="47"/>
    </row>
    <row r="837">
      <c r="B837" s="47"/>
      <c r="C837" s="47"/>
    </row>
    <row r="838">
      <c r="B838" s="47"/>
      <c r="C838" s="47"/>
    </row>
    <row r="839">
      <c r="B839" s="47"/>
      <c r="C839" s="47"/>
    </row>
    <row r="840">
      <c r="B840" s="47"/>
      <c r="C840" s="47"/>
    </row>
    <row r="841">
      <c r="B841" s="47"/>
      <c r="C841" s="47"/>
    </row>
    <row r="842">
      <c r="B842" s="47"/>
      <c r="C842" s="47"/>
    </row>
    <row r="843">
      <c r="B843" s="47"/>
      <c r="C843" s="47"/>
    </row>
    <row r="844">
      <c r="B844" s="47"/>
      <c r="C844" s="47"/>
    </row>
    <row r="845">
      <c r="B845" s="47"/>
      <c r="C845" s="47"/>
    </row>
    <row r="846">
      <c r="B846" s="47"/>
      <c r="C846" s="47"/>
    </row>
    <row r="847">
      <c r="B847" s="47"/>
      <c r="C847" s="47"/>
    </row>
    <row r="848">
      <c r="B848" s="47"/>
      <c r="C848" s="47"/>
    </row>
    <row r="849">
      <c r="B849" s="47"/>
      <c r="C849" s="47"/>
    </row>
    <row r="850">
      <c r="B850" s="47"/>
      <c r="C850" s="47"/>
    </row>
    <row r="851">
      <c r="B851" s="47"/>
      <c r="C851" s="47"/>
    </row>
    <row r="852">
      <c r="B852" s="47"/>
      <c r="C852" s="47"/>
    </row>
    <row r="853">
      <c r="B853" s="47"/>
      <c r="C853" s="47"/>
    </row>
    <row r="854">
      <c r="B854" s="47"/>
      <c r="C854" s="47"/>
    </row>
    <row r="855">
      <c r="B855" s="47"/>
      <c r="C855" s="47"/>
    </row>
    <row r="856">
      <c r="B856" s="47"/>
      <c r="C856" s="47"/>
    </row>
    <row r="857">
      <c r="B857" s="47"/>
      <c r="C857" s="47"/>
    </row>
    <row r="858">
      <c r="B858" s="47"/>
      <c r="C858" s="47"/>
    </row>
    <row r="859">
      <c r="B859" s="47"/>
      <c r="C859" s="47"/>
    </row>
    <row r="860">
      <c r="B860" s="47"/>
      <c r="C860" s="47"/>
    </row>
    <row r="861">
      <c r="B861" s="47"/>
      <c r="C861" s="47"/>
    </row>
    <row r="862">
      <c r="B862" s="47"/>
      <c r="C862" s="47"/>
    </row>
    <row r="863">
      <c r="B863" s="47"/>
      <c r="C863" s="47"/>
    </row>
    <row r="864">
      <c r="B864" s="47"/>
      <c r="C864" s="47"/>
    </row>
    <row r="865">
      <c r="B865" s="47"/>
      <c r="C865" s="47"/>
    </row>
    <row r="866">
      <c r="B866" s="47"/>
      <c r="C866" s="47"/>
    </row>
    <row r="867">
      <c r="B867" s="47"/>
      <c r="C867" s="47"/>
    </row>
    <row r="868">
      <c r="B868" s="47"/>
      <c r="C868" s="47"/>
    </row>
    <row r="869">
      <c r="B869" s="47"/>
      <c r="C869" s="47"/>
    </row>
    <row r="870">
      <c r="B870" s="47"/>
      <c r="C870" s="47"/>
    </row>
    <row r="871">
      <c r="B871" s="47"/>
      <c r="C871" s="47"/>
    </row>
    <row r="872">
      <c r="B872" s="47"/>
      <c r="C872" s="47"/>
    </row>
    <row r="873">
      <c r="B873" s="47"/>
      <c r="C873" s="47"/>
    </row>
    <row r="874">
      <c r="B874" s="47"/>
      <c r="C874" s="47"/>
    </row>
    <row r="875">
      <c r="B875" s="47"/>
      <c r="C875" s="47"/>
    </row>
    <row r="876">
      <c r="B876" s="47"/>
      <c r="C876" s="47"/>
    </row>
    <row r="877">
      <c r="B877" s="47"/>
      <c r="C877" s="47"/>
    </row>
    <row r="878">
      <c r="B878" s="47"/>
      <c r="C878" s="47"/>
    </row>
    <row r="879">
      <c r="B879" s="47"/>
      <c r="C879" s="47"/>
    </row>
    <row r="880">
      <c r="B880" s="47"/>
      <c r="C880" s="47"/>
    </row>
    <row r="881">
      <c r="B881" s="47"/>
      <c r="C881" s="47"/>
    </row>
    <row r="882">
      <c r="B882" s="47"/>
      <c r="C882" s="47"/>
    </row>
    <row r="883">
      <c r="B883" s="47"/>
      <c r="C883" s="47"/>
    </row>
    <row r="884">
      <c r="B884" s="47"/>
      <c r="C884" s="47"/>
    </row>
    <row r="885">
      <c r="B885" s="47"/>
      <c r="C885" s="47"/>
    </row>
    <row r="886">
      <c r="B886" s="47"/>
      <c r="C886" s="47"/>
    </row>
    <row r="887">
      <c r="B887" s="47"/>
      <c r="C887" s="47"/>
    </row>
    <row r="888">
      <c r="B888" s="47"/>
      <c r="C888" s="47"/>
    </row>
    <row r="889">
      <c r="B889" s="47"/>
      <c r="C889" s="47"/>
    </row>
    <row r="890">
      <c r="B890" s="47"/>
      <c r="C890" s="47"/>
    </row>
    <row r="891">
      <c r="B891" s="47"/>
      <c r="C891" s="47"/>
    </row>
    <row r="892">
      <c r="B892" s="47"/>
      <c r="C892" s="47"/>
    </row>
    <row r="893">
      <c r="B893" s="47"/>
      <c r="C893" s="47"/>
    </row>
    <row r="894">
      <c r="B894" s="47"/>
      <c r="C894" s="47"/>
    </row>
    <row r="895">
      <c r="B895" s="47"/>
      <c r="C895" s="47"/>
    </row>
    <row r="896">
      <c r="B896" s="47"/>
      <c r="C896" s="47"/>
    </row>
    <row r="897">
      <c r="B897" s="47"/>
      <c r="C897" s="47"/>
    </row>
    <row r="898">
      <c r="B898" s="47"/>
      <c r="C898" s="47"/>
    </row>
    <row r="899">
      <c r="B899" s="47"/>
      <c r="C899" s="47"/>
    </row>
    <row r="900">
      <c r="B900" s="47"/>
      <c r="C900" s="47"/>
    </row>
    <row r="901">
      <c r="B901" s="47"/>
      <c r="C901" s="47"/>
    </row>
    <row r="902">
      <c r="B902" s="47"/>
      <c r="C902" s="47"/>
    </row>
    <row r="903">
      <c r="B903" s="47"/>
      <c r="C903" s="47"/>
    </row>
    <row r="904">
      <c r="B904" s="47"/>
      <c r="C904" s="47"/>
    </row>
    <row r="905">
      <c r="B905" s="47"/>
      <c r="C905" s="47"/>
    </row>
    <row r="906">
      <c r="B906" s="47"/>
      <c r="C906" s="47"/>
    </row>
    <row r="907">
      <c r="B907" s="47"/>
      <c r="C907" s="47"/>
    </row>
    <row r="908">
      <c r="B908" s="47"/>
      <c r="C908" s="47"/>
    </row>
    <row r="909">
      <c r="B909" s="47"/>
      <c r="C909" s="47"/>
    </row>
    <row r="910">
      <c r="B910" s="47"/>
      <c r="C910" s="47"/>
    </row>
    <row r="911">
      <c r="B911" s="47"/>
      <c r="C911" s="47"/>
    </row>
    <row r="912">
      <c r="B912" s="47"/>
      <c r="C912" s="47"/>
    </row>
    <row r="913">
      <c r="B913" s="47"/>
      <c r="C913" s="47"/>
    </row>
    <row r="914">
      <c r="B914" s="47"/>
      <c r="C914" s="47"/>
    </row>
    <row r="915">
      <c r="B915" s="47"/>
      <c r="C915" s="47"/>
    </row>
    <row r="916">
      <c r="B916" s="47"/>
      <c r="C916" s="47"/>
    </row>
    <row r="917">
      <c r="B917" s="47"/>
      <c r="C917" s="47"/>
    </row>
    <row r="918">
      <c r="B918" s="47"/>
      <c r="C918" s="47"/>
    </row>
    <row r="919">
      <c r="B919" s="47"/>
      <c r="C919" s="47"/>
    </row>
    <row r="920">
      <c r="B920" s="47"/>
      <c r="C920" s="47"/>
    </row>
    <row r="921">
      <c r="B921" s="47"/>
      <c r="C921" s="47"/>
    </row>
    <row r="922">
      <c r="B922" s="47"/>
      <c r="C922" s="47"/>
    </row>
    <row r="923">
      <c r="B923" s="47"/>
      <c r="C923" s="47"/>
    </row>
    <row r="924">
      <c r="B924" s="47"/>
      <c r="C924" s="47"/>
    </row>
    <row r="925">
      <c r="B925" s="47"/>
      <c r="C925" s="47"/>
    </row>
    <row r="926">
      <c r="B926" s="47"/>
      <c r="C926" s="47"/>
    </row>
    <row r="927">
      <c r="B927" s="47"/>
      <c r="C927" s="47"/>
    </row>
    <row r="928">
      <c r="B928" s="47"/>
      <c r="C928" s="47"/>
    </row>
    <row r="929">
      <c r="B929" s="47"/>
      <c r="C929" s="47"/>
    </row>
    <row r="930">
      <c r="B930" s="47"/>
      <c r="C930" s="47"/>
    </row>
    <row r="931">
      <c r="B931" s="47"/>
      <c r="C931" s="47"/>
    </row>
    <row r="932">
      <c r="B932" s="47"/>
      <c r="C932" s="47"/>
    </row>
    <row r="933">
      <c r="B933" s="47"/>
      <c r="C933" s="47"/>
    </row>
    <row r="934">
      <c r="B934" s="47"/>
      <c r="C934" s="47"/>
    </row>
    <row r="935">
      <c r="B935" s="47"/>
      <c r="C935" s="47"/>
    </row>
    <row r="936">
      <c r="B936" s="47"/>
      <c r="C936" s="47"/>
    </row>
    <row r="937">
      <c r="B937" s="47"/>
      <c r="C937" s="47"/>
    </row>
    <row r="938">
      <c r="B938" s="47"/>
      <c r="C938" s="47"/>
    </row>
    <row r="939">
      <c r="B939" s="47"/>
      <c r="C939" s="47"/>
    </row>
    <row r="940">
      <c r="B940" s="47"/>
      <c r="C940" s="47"/>
    </row>
    <row r="941">
      <c r="B941" s="47"/>
      <c r="C941" s="47"/>
    </row>
    <row r="942">
      <c r="B942" s="47"/>
      <c r="C942" s="47"/>
    </row>
    <row r="943">
      <c r="B943" s="47"/>
      <c r="C943" s="47"/>
    </row>
    <row r="944">
      <c r="B944" s="47"/>
      <c r="C944" s="47"/>
    </row>
    <row r="945">
      <c r="B945" s="47"/>
      <c r="C945" s="47"/>
    </row>
    <row r="946">
      <c r="B946" s="47"/>
      <c r="C946" s="47"/>
    </row>
    <row r="947">
      <c r="B947" s="47"/>
      <c r="C947" s="47"/>
    </row>
    <row r="948">
      <c r="B948" s="47"/>
      <c r="C948" s="47"/>
    </row>
    <row r="949">
      <c r="B949" s="47"/>
      <c r="C949" s="47"/>
    </row>
    <row r="950">
      <c r="B950" s="47"/>
      <c r="C950" s="47"/>
    </row>
    <row r="951">
      <c r="B951" s="47"/>
      <c r="C951" s="47"/>
    </row>
    <row r="952">
      <c r="B952" s="47"/>
      <c r="C952" s="47"/>
    </row>
    <row r="953">
      <c r="B953" s="47"/>
      <c r="C953" s="47"/>
    </row>
    <row r="954">
      <c r="B954" s="47"/>
      <c r="C954" s="47"/>
    </row>
    <row r="955">
      <c r="B955" s="47"/>
      <c r="C955" s="47"/>
    </row>
    <row r="956">
      <c r="B956" s="47"/>
      <c r="C956" s="47"/>
    </row>
    <row r="957">
      <c r="B957" s="47"/>
      <c r="C957" s="47"/>
    </row>
    <row r="958">
      <c r="B958" s="47"/>
      <c r="C958" s="47"/>
    </row>
    <row r="959">
      <c r="B959" s="47"/>
      <c r="C959" s="47"/>
    </row>
    <row r="960">
      <c r="B960" s="47"/>
      <c r="C960" s="47"/>
    </row>
    <row r="961">
      <c r="B961" s="47"/>
      <c r="C961" s="47"/>
    </row>
    <row r="962">
      <c r="B962" s="47"/>
      <c r="C962" s="47"/>
    </row>
    <row r="963">
      <c r="B963" s="47"/>
      <c r="C963" s="47"/>
    </row>
    <row r="964">
      <c r="B964" s="47"/>
      <c r="C964" s="47"/>
    </row>
    <row r="965">
      <c r="B965" s="47"/>
      <c r="C965" s="47"/>
    </row>
    <row r="966">
      <c r="B966" s="47"/>
      <c r="C966" s="47"/>
    </row>
    <row r="967">
      <c r="B967" s="47"/>
      <c r="C967" s="47"/>
    </row>
    <row r="968">
      <c r="B968" s="47"/>
      <c r="C968" s="47"/>
    </row>
    <row r="969">
      <c r="B969" s="47"/>
      <c r="C969" s="47"/>
    </row>
    <row r="970">
      <c r="B970" s="47"/>
      <c r="C970" s="47"/>
    </row>
    <row r="971">
      <c r="B971" s="47"/>
      <c r="C971" s="47"/>
    </row>
    <row r="972">
      <c r="B972" s="47"/>
      <c r="C972" s="47"/>
    </row>
    <row r="973">
      <c r="B973" s="47"/>
      <c r="C973" s="47"/>
    </row>
    <row r="974">
      <c r="B974" s="47"/>
      <c r="C974" s="47"/>
    </row>
    <row r="975">
      <c r="B975" s="47"/>
      <c r="C975" s="47"/>
    </row>
    <row r="976">
      <c r="B976" s="47"/>
      <c r="C976" s="47"/>
    </row>
    <row r="977">
      <c r="B977" s="47"/>
      <c r="C977" s="47"/>
    </row>
    <row r="978">
      <c r="B978" s="47"/>
      <c r="C978" s="47"/>
    </row>
    <row r="979">
      <c r="B979" s="47"/>
      <c r="C979" s="47"/>
    </row>
    <row r="980">
      <c r="B980" s="47"/>
      <c r="C980" s="47"/>
    </row>
    <row r="981">
      <c r="B981" s="47"/>
      <c r="C981" s="47"/>
    </row>
    <row r="982">
      <c r="B982" s="47"/>
      <c r="C982" s="47"/>
    </row>
    <row r="983">
      <c r="B983" s="47"/>
      <c r="C983" s="47"/>
    </row>
    <row r="984">
      <c r="B984" s="47"/>
      <c r="C984" s="47"/>
    </row>
    <row r="985">
      <c r="B985" s="47"/>
      <c r="C985" s="47"/>
    </row>
    <row r="986">
      <c r="B986" s="47"/>
      <c r="C986" s="47"/>
    </row>
    <row r="987">
      <c r="B987" s="47"/>
      <c r="C987" s="47"/>
    </row>
    <row r="988">
      <c r="B988" s="47"/>
      <c r="C988" s="47"/>
    </row>
    <row r="989">
      <c r="B989" s="47"/>
      <c r="C989" s="47"/>
    </row>
    <row r="990">
      <c r="B990" s="47"/>
      <c r="C990" s="47"/>
    </row>
    <row r="991">
      <c r="B991" s="47"/>
      <c r="C991" s="47"/>
    </row>
    <row r="992">
      <c r="B992" s="47"/>
      <c r="C992" s="47"/>
    </row>
    <row r="993">
      <c r="B993" s="47"/>
      <c r="C993" s="47"/>
    </row>
    <row r="994">
      <c r="B994" s="47"/>
      <c r="C994" s="47"/>
    </row>
    <row r="995">
      <c r="B995" s="47"/>
      <c r="C995" s="47"/>
    </row>
    <row r="996">
      <c r="B996" s="47"/>
      <c r="C996" s="47"/>
    </row>
    <row r="997">
      <c r="B997" s="47"/>
      <c r="C997" s="47"/>
    </row>
    <row r="998">
      <c r="B998" s="47"/>
      <c r="C998" s="47"/>
    </row>
    <row r="999">
      <c r="B999" s="47"/>
      <c r="C999" s="47"/>
    </row>
    <row r="1000">
      <c r="B1000" s="47"/>
      <c r="C1000" s="47"/>
    </row>
  </sheetData>
  <hyperlinks>
    <hyperlink r:id="rId1" ref="G2"/>
    <hyperlink r:id="rId2" ref="G3"/>
    <hyperlink r:id="rId3" ref="G4"/>
  </hyperlinks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3.38"/>
    <col customWidth="1" min="2" max="2" width="14.0"/>
    <col customWidth="1" min="3" max="3" width="50.88"/>
    <col customWidth="1" min="4" max="4" width="3.88"/>
    <col customWidth="1" min="5" max="5" width="14.5"/>
    <col customWidth="1" min="6" max="6" width="8.63"/>
    <col customWidth="1" min="7" max="7" width="14.25"/>
    <col customWidth="1" min="8" max="8" width="14.13"/>
  </cols>
  <sheetData>
    <row r="1" ht="15.0" customHeight="1">
      <c r="A1" s="72" t="s">
        <v>74</v>
      </c>
      <c r="B1" s="73" t="s">
        <v>75</v>
      </c>
      <c r="C1" s="74"/>
      <c r="D1" s="74"/>
      <c r="E1" s="74"/>
      <c r="F1" s="74"/>
      <c r="G1" s="74"/>
      <c r="H1" s="74"/>
    </row>
    <row r="2" ht="15.0" customHeight="1">
      <c r="A2" s="72" t="s">
        <v>76</v>
      </c>
      <c r="B2" s="75">
        <f>'Income+MonthlyExpenses'!B3-('Income+MonthlyExpenses'!B20*12)</f>
        <v>88000</v>
      </c>
      <c r="C2" s="74"/>
      <c r="D2" s="74"/>
      <c r="E2" s="74"/>
      <c r="F2" s="74"/>
      <c r="G2" s="74"/>
      <c r="H2" s="74"/>
    </row>
    <row r="3" ht="15.0" customHeight="1">
      <c r="A3" s="74"/>
      <c r="B3" s="74"/>
      <c r="C3" s="74"/>
      <c r="D3" s="74"/>
      <c r="E3" s="74"/>
      <c r="F3" s="74"/>
      <c r="G3" s="74"/>
      <c r="H3" s="74"/>
    </row>
    <row r="4" ht="15.0" customHeight="1">
      <c r="A4" s="72" t="s">
        <v>77</v>
      </c>
      <c r="B4" s="76">
        <f>if(B1="Single", max(H12:H17), max(H22:H27))</f>
        <v>15294</v>
      </c>
      <c r="C4" s="74"/>
      <c r="D4" s="74"/>
      <c r="E4" s="74"/>
      <c r="F4" s="74"/>
      <c r="G4" s="74"/>
      <c r="H4" s="74"/>
    </row>
    <row r="5" ht="15.0" customHeight="1">
      <c r="A5" s="72" t="s">
        <v>78</v>
      </c>
      <c r="B5" s="77">
        <f t="array" ref="B5">index(F12:F27, match(B4,H12:H27, 0))</f>
        <v>0.24</v>
      </c>
      <c r="C5" s="74"/>
      <c r="D5" s="74"/>
      <c r="E5" s="74"/>
      <c r="F5" s="74"/>
      <c r="G5" s="74"/>
      <c r="H5" s="74"/>
    </row>
    <row r="6" ht="15.0" customHeight="1">
      <c r="A6" s="72" t="s">
        <v>79</v>
      </c>
      <c r="B6" s="77">
        <f>B4/B2</f>
        <v>0.1737954545</v>
      </c>
      <c r="C6" s="74"/>
      <c r="D6" s="74"/>
      <c r="E6" s="74"/>
      <c r="F6" s="74"/>
      <c r="G6" s="74"/>
      <c r="H6" s="74"/>
    </row>
    <row r="7" ht="15.0" customHeight="1">
      <c r="A7" s="74"/>
      <c r="B7" s="74"/>
      <c r="C7" s="74"/>
      <c r="D7" s="74"/>
      <c r="E7" s="74"/>
      <c r="F7" s="74"/>
      <c r="G7" s="74"/>
      <c r="H7" s="74"/>
    </row>
    <row r="8" ht="15.0" customHeight="1">
      <c r="A8" s="74"/>
      <c r="B8" s="74"/>
      <c r="C8" s="74"/>
      <c r="D8" s="74"/>
      <c r="E8" s="74"/>
      <c r="F8" s="74"/>
      <c r="G8" s="74"/>
      <c r="H8" s="74"/>
    </row>
    <row r="9" ht="17.25" customHeight="1">
      <c r="A9" s="78" t="s">
        <v>80</v>
      </c>
      <c r="D9" s="79"/>
      <c r="E9" s="80" t="s">
        <v>81</v>
      </c>
    </row>
    <row r="10" ht="15.0" customHeight="1">
      <c r="A10" s="80" t="s">
        <v>75</v>
      </c>
      <c r="B10" s="79"/>
      <c r="C10" s="79"/>
      <c r="D10" s="79"/>
      <c r="E10" s="79"/>
      <c r="F10" s="81" t="s">
        <v>82</v>
      </c>
      <c r="G10" s="81" t="s">
        <v>83</v>
      </c>
      <c r="H10" s="79"/>
    </row>
    <row r="11" ht="15.0" customHeight="1">
      <c r="A11" s="82" t="s">
        <v>84</v>
      </c>
      <c r="B11" s="82" t="s">
        <v>85</v>
      </c>
      <c r="C11" s="82" t="s">
        <v>86</v>
      </c>
      <c r="D11" s="83"/>
      <c r="E11" s="84" t="s">
        <v>87</v>
      </c>
      <c r="F11" s="84" t="s">
        <v>88</v>
      </c>
      <c r="G11" s="84" t="s">
        <v>89</v>
      </c>
      <c r="H11" s="84" t="s">
        <v>90</v>
      </c>
    </row>
    <row r="12" ht="15.0" customHeight="1">
      <c r="A12" s="85">
        <v>0.0</v>
      </c>
      <c r="B12" s="86">
        <v>9700.0</v>
      </c>
      <c r="C12" s="80" t="s">
        <v>91</v>
      </c>
      <c r="D12" s="79"/>
      <c r="E12" s="87">
        <v>0.0</v>
      </c>
      <c r="F12" s="88">
        <v>0.1</v>
      </c>
      <c r="G12" s="89">
        <f t="shared" ref="G12:G18" si="1">IF(AND($B$2&gt;A12, $B$2&lt;$B12), ($B$2-A12)*$F12, 0)</f>
        <v>0</v>
      </c>
      <c r="H12" s="89">
        <f t="shared" ref="H12:H18" si="2">IF(G12=0, 0,E12+G12)</f>
        <v>0</v>
      </c>
    </row>
    <row r="13" ht="15.0" customHeight="1">
      <c r="A13" s="85">
        <v>9700.0</v>
      </c>
      <c r="B13" s="86">
        <v>39475.0</v>
      </c>
      <c r="C13" s="78" t="s">
        <v>92</v>
      </c>
      <c r="D13" s="79"/>
      <c r="E13" s="87">
        <v>970.0</v>
      </c>
      <c r="F13" s="88">
        <v>0.12</v>
      </c>
      <c r="G13" s="89">
        <f t="shared" si="1"/>
        <v>0</v>
      </c>
      <c r="H13" s="89">
        <f t="shared" si="2"/>
        <v>0</v>
      </c>
    </row>
    <row r="14" ht="15.0" customHeight="1">
      <c r="A14" s="85">
        <v>39475.0</v>
      </c>
      <c r="B14" s="86">
        <v>84200.0</v>
      </c>
      <c r="C14" s="80" t="s">
        <v>93</v>
      </c>
      <c r="D14" s="79"/>
      <c r="E14" s="87">
        <v>4543.0</v>
      </c>
      <c r="F14" s="88">
        <v>0.22</v>
      </c>
      <c r="G14" s="89">
        <f t="shared" si="1"/>
        <v>0</v>
      </c>
      <c r="H14" s="89">
        <f t="shared" si="2"/>
        <v>0</v>
      </c>
    </row>
    <row r="15" ht="15.0" customHeight="1">
      <c r="A15" s="85">
        <v>84200.0</v>
      </c>
      <c r="B15" s="86">
        <v>160725.0</v>
      </c>
      <c r="C15" s="80" t="s">
        <v>94</v>
      </c>
      <c r="D15" s="79"/>
      <c r="E15" s="87">
        <v>14382.0</v>
      </c>
      <c r="F15" s="88">
        <v>0.24</v>
      </c>
      <c r="G15" s="89">
        <f t="shared" si="1"/>
        <v>912</v>
      </c>
      <c r="H15" s="89">
        <f t="shared" si="2"/>
        <v>15294</v>
      </c>
    </row>
    <row r="16" ht="15.0" customHeight="1">
      <c r="A16" s="85">
        <v>160725.0</v>
      </c>
      <c r="B16" s="86">
        <v>204100.0</v>
      </c>
      <c r="C16" s="80" t="s">
        <v>95</v>
      </c>
      <c r="D16" s="79"/>
      <c r="E16" s="87">
        <v>32748.0</v>
      </c>
      <c r="F16" s="88">
        <v>0.32</v>
      </c>
      <c r="G16" s="89">
        <f t="shared" si="1"/>
        <v>0</v>
      </c>
      <c r="H16" s="89">
        <f t="shared" si="2"/>
        <v>0</v>
      </c>
    </row>
    <row r="17" ht="15.0" customHeight="1">
      <c r="A17" s="85">
        <v>204100.0</v>
      </c>
      <c r="B17" s="90">
        <v>510300.0</v>
      </c>
      <c r="C17" s="80" t="s">
        <v>96</v>
      </c>
      <c r="D17" s="79"/>
      <c r="E17" s="87">
        <v>46628.0</v>
      </c>
      <c r="F17" s="88">
        <v>0.35</v>
      </c>
      <c r="G17" s="89">
        <f t="shared" si="1"/>
        <v>0</v>
      </c>
      <c r="H17" s="89">
        <f t="shared" si="2"/>
        <v>0</v>
      </c>
    </row>
    <row r="18" ht="15.0" customHeight="1">
      <c r="A18" s="91">
        <v>510300.0</v>
      </c>
      <c r="B18" s="80" t="s">
        <v>97</v>
      </c>
      <c r="C18" s="80" t="s">
        <v>98</v>
      </c>
      <c r="D18" s="79"/>
      <c r="E18" s="91">
        <v>153798.0</v>
      </c>
      <c r="F18" s="92">
        <v>0.37</v>
      </c>
      <c r="G18" s="89">
        <f t="shared" si="1"/>
        <v>0</v>
      </c>
      <c r="H18" s="89">
        <f t="shared" si="2"/>
        <v>0</v>
      </c>
    </row>
    <row r="19" ht="15.0" customHeight="1">
      <c r="A19" s="80"/>
      <c r="B19" s="79"/>
      <c r="C19" s="79"/>
      <c r="D19" s="79"/>
      <c r="E19" s="83"/>
      <c r="F19" s="81"/>
      <c r="G19" s="81"/>
      <c r="H19" s="79"/>
    </row>
    <row r="20" ht="15.0" customHeight="1">
      <c r="A20" s="80" t="s">
        <v>99</v>
      </c>
      <c r="B20" s="79"/>
      <c r="C20" s="79"/>
      <c r="D20" s="79"/>
      <c r="E20" s="83"/>
      <c r="F20" s="81" t="s">
        <v>82</v>
      </c>
      <c r="G20" s="81" t="s">
        <v>83</v>
      </c>
      <c r="H20" s="79"/>
    </row>
    <row r="21" ht="15.0" customHeight="1">
      <c r="A21" s="82" t="s">
        <v>84</v>
      </c>
      <c r="B21" s="82" t="s">
        <v>85</v>
      </c>
      <c r="C21" s="82" t="s">
        <v>86</v>
      </c>
      <c r="D21" s="83"/>
      <c r="E21" s="84" t="s">
        <v>87</v>
      </c>
      <c r="F21" s="84" t="s">
        <v>88</v>
      </c>
      <c r="G21" s="84" t="s">
        <v>89</v>
      </c>
      <c r="H21" s="84" t="s">
        <v>90</v>
      </c>
    </row>
    <row r="22" ht="15.0" customHeight="1">
      <c r="A22" s="85">
        <v>0.0</v>
      </c>
      <c r="B22" s="86">
        <v>19400.0</v>
      </c>
      <c r="C22" s="80" t="s">
        <v>91</v>
      </c>
      <c r="D22" s="79"/>
      <c r="E22" s="87">
        <v>0.0</v>
      </c>
      <c r="F22" s="88">
        <v>0.1</v>
      </c>
      <c r="G22" s="89">
        <f t="shared" ref="G22:G27" si="3">IF(AND($B$2&gt;A22, $B$2&lt;$B22), ($B$2-A22)*$F22, 0)</f>
        <v>0</v>
      </c>
      <c r="H22" s="89">
        <f t="shared" ref="H22:H27" si="4">IF(G22=0, 0,E22+G22)</f>
        <v>0</v>
      </c>
    </row>
    <row r="23" ht="15.0" customHeight="1">
      <c r="A23" s="85">
        <v>19400.0</v>
      </c>
      <c r="B23" s="86">
        <v>78950.0</v>
      </c>
      <c r="C23" s="80" t="s">
        <v>100</v>
      </c>
      <c r="D23" s="79"/>
      <c r="E23" s="87">
        <v>1740.0</v>
      </c>
      <c r="F23" s="88">
        <v>0.15</v>
      </c>
      <c r="G23" s="89">
        <f t="shared" si="3"/>
        <v>0</v>
      </c>
      <c r="H23" s="89">
        <f t="shared" si="4"/>
        <v>0</v>
      </c>
    </row>
    <row r="24" ht="15.0" customHeight="1">
      <c r="A24" s="85">
        <v>78950.0</v>
      </c>
      <c r="B24" s="86">
        <v>168400.0</v>
      </c>
      <c r="C24" s="80" t="s">
        <v>101</v>
      </c>
      <c r="D24" s="79"/>
      <c r="E24" s="87">
        <v>9735.0</v>
      </c>
      <c r="F24" s="88">
        <v>0.25</v>
      </c>
      <c r="G24" s="89">
        <f t="shared" si="3"/>
        <v>2262.5</v>
      </c>
      <c r="H24" s="89">
        <f t="shared" si="4"/>
        <v>11997.5</v>
      </c>
    </row>
    <row r="25" ht="15.0" customHeight="1">
      <c r="A25" s="85">
        <v>168400.0</v>
      </c>
      <c r="B25" s="86">
        <v>321450.0</v>
      </c>
      <c r="C25" s="80" t="s">
        <v>102</v>
      </c>
      <c r="D25" s="79"/>
      <c r="E25" s="87">
        <v>27735.0</v>
      </c>
      <c r="F25" s="88">
        <v>0.28</v>
      </c>
      <c r="G25" s="89">
        <f t="shared" si="3"/>
        <v>0</v>
      </c>
      <c r="H25" s="89">
        <f t="shared" si="4"/>
        <v>0</v>
      </c>
    </row>
    <row r="26" ht="15.0" customHeight="1">
      <c r="A26" s="85">
        <v>321450.0</v>
      </c>
      <c r="B26" s="86">
        <v>408200.0</v>
      </c>
      <c r="C26" s="80" t="s">
        <v>103</v>
      </c>
      <c r="D26" s="79"/>
      <c r="E26" s="87">
        <v>48665.0</v>
      </c>
      <c r="F26" s="88">
        <v>0.33</v>
      </c>
      <c r="G26" s="89">
        <f t="shared" si="3"/>
        <v>0</v>
      </c>
      <c r="H26" s="89">
        <f t="shared" si="4"/>
        <v>0</v>
      </c>
    </row>
    <row r="27" ht="15.0" customHeight="1">
      <c r="A27" s="85">
        <v>408200.0</v>
      </c>
      <c r="B27" s="93">
        <v>612350.0</v>
      </c>
      <c r="C27" s="80" t="s">
        <v>104</v>
      </c>
      <c r="D27" s="79"/>
      <c r="E27" s="87">
        <v>105062.0</v>
      </c>
      <c r="F27" s="88">
        <v>0.35</v>
      </c>
      <c r="G27" s="89">
        <f t="shared" si="3"/>
        <v>0</v>
      </c>
      <c r="H27" s="89">
        <f t="shared" si="4"/>
        <v>0</v>
      </c>
    </row>
    <row r="28" ht="15.0" customHeight="1">
      <c r="A28" s="85">
        <v>612350.0</v>
      </c>
      <c r="B28" s="93" t="s">
        <v>97</v>
      </c>
      <c r="C28" s="80" t="s">
        <v>105</v>
      </c>
      <c r="D28" s="79"/>
      <c r="E28" s="89"/>
      <c r="F28" s="94"/>
      <c r="G28" s="89"/>
      <c r="H28" s="89"/>
    </row>
    <row r="29" ht="15.0" customHeight="1">
      <c r="A29" s="95"/>
      <c r="B29" s="96"/>
      <c r="C29" s="96"/>
      <c r="D29" s="96"/>
      <c r="E29" s="96"/>
      <c r="F29" s="96"/>
      <c r="G29" s="96"/>
      <c r="H29" s="96"/>
    </row>
    <row r="30" ht="15.0" customHeight="1">
      <c r="A30" s="95" t="s">
        <v>106</v>
      </c>
      <c r="B30" s="96" t="s">
        <v>107</v>
      </c>
    </row>
  </sheetData>
  <mergeCells count="3">
    <mergeCell ref="A9:C9"/>
    <mergeCell ref="E9:H9"/>
    <mergeCell ref="B30:H30"/>
  </mergeCells>
  <conditionalFormatting sqref="B1">
    <cfRule type="colorScale" priority="1">
      <colorScale>
        <cfvo type="min"/>
        <cfvo type="max"/>
        <color rgb="FF57BB8A"/>
        <color rgb="FFFFFFFF"/>
      </colorScale>
    </cfRule>
  </conditionalFormatting>
  <dataValidations>
    <dataValidation type="list" allowBlank="1" showErrorMessage="1" sqref="B1">
      <formula1>"Single,Married"</formula1>
    </dataValidation>
  </dataValidations>
  <hyperlinks>
    <hyperlink r:id="rId1" ref="B30"/>
  </hyperlinks>
  <drawing r:id="rId2"/>
</worksheet>
</file>